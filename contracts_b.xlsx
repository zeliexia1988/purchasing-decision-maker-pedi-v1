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nge1-my.sharepoint.com/personal/zelie_xia_nge_fr/Documents/outil python/Version Prod/072026/"/>
    </mc:Choice>
  </mc:AlternateContent>
  <xr:revisionPtr revIDLastSave="150" documentId="8_{3750B458-58F1-48C0-9C26-3A756B70A70A}" xr6:coauthVersionLast="47" xr6:coauthVersionMax="47" xr10:uidLastSave="{55B34B1C-A3BF-4D44-BD4D-CA33E477B71C}"/>
  <bookViews>
    <workbookView xWindow="-108" yWindow="-108" windowWidth="23256" windowHeight="12456" xr2:uid="{23422DED-278B-4346-9FA3-A3B39CC3DEEC}"/>
  </bookViews>
  <sheets>
    <sheet name="Feuil1" sheetId="1" r:id="rId1"/>
  </sheets>
  <externalReferences>
    <externalReference r:id="rId2"/>
  </externalReferences>
  <definedNames>
    <definedName name="_xlnm._FilterDatabase" localSheetId="0" hidden="1">Feuil1!$A$1:$J$1801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3" i="1" l="1"/>
  <c r="L3" i="1" s="1"/>
  <c r="K4" i="1"/>
  <c r="L4" i="1" s="1"/>
  <c r="K5" i="1"/>
  <c r="L5" i="1" s="1"/>
  <c r="K6" i="1"/>
  <c r="L6" i="1" s="1"/>
  <c r="K7" i="1"/>
  <c r="L7" i="1" s="1"/>
  <c r="K8" i="1"/>
  <c r="L8" i="1" s="1"/>
  <c r="K9" i="1"/>
  <c r="L9" i="1" s="1"/>
  <c r="K10" i="1"/>
  <c r="L10" i="1" s="1"/>
  <c r="K11" i="1"/>
  <c r="L11" i="1" s="1"/>
  <c r="K12" i="1"/>
  <c r="L12" i="1" s="1"/>
  <c r="K13" i="1"/>
  <c r="L13" i="1" s="1"/>
  <c r="K14" i="1"/>
  <c r="L14" i="1" s="1"/>
  <c r="K15" i="1"/>
  <c r="L15" i="1" s="1"/>
  <c r="K16" i="1"/>
  <c r="L16" i="1" s="1"/>
  <c r="K17" i="1"/>
  <c r="L17" i="1" s="1"/>
  <c r="K18" i="1"/>
  <c r="L18" i="1" s="1"/>
  <c r="K19" i="1"/>
  <c r="L19" i="1" s="1"/>
  <c r="K20" i="1"/>
  <c r="L20" i="1" s="1"/>
  <c r="K21" i="1"/>
  <c r="L21" i="1" s="1"/>
  <c r="K22" i="1"/>
  <c r="L22" i="1" s="1"/>
  <c r="K23" i="1"/>
  <c r="L23" i="1" s="1"/>
  <c r="K24" i="1"/>
  <c r="L24" i="1" s="1"/>
  <c r="K25" i="1"/>
  <c r="L25" i="1" s="1"/>
  <c r="K26" i="1"/>
  <c r="L26" i="1" s="1"/>
  <c r="K27" i="1"/>
  <c r="L27" i="1" s="1"/>
  <c r="K28" i="1"/>
  <c r="L28" i="1" s="1"/>
  <c r="K29" i="1"/>
  <c r="L29" i="1" s="1"/>
  <c r="K30" i="1"/>
  <c r="L30" i="1" s="1"/>
  <c r="K31" i="1"/>
  <c r="L31" i="1" s="1"/>
  <c r="K32" i="1"/>
  <c r="L32" i="1" s="1"/>
  <c r="K33" i="1"/>
  <c r="L33" i="1" s="1"/>
  <c r="K34" i="1"/>
  <c r="L34" i="1" s="1"/>
  <c r="K35" i="1"/>
  <c r="L35" i="1" s="1"/>
  <c r="K36" i="1"/>
  <c r="L36" i="1" s="1"/>
  <c r="K37" i="1"/>
  <c r="L37" i="1" s="1"/>
  <c r="K38" i="1"/>
  <c r="L38" i="1" s="1"/>
  <c r="K39" i="1"/>
  <c r="L39" i="1" s="1"/>
  <c r="K40" i="1"/>
  <c r="L40" i="1" s="1"/>
  <c r="K41" i="1"/>
  <c r="L41" i="1" s="1"/>
  <c r="K42" i="1"/>
  <c r="L42" i="1" s="1"/>
  <c r="K43" i="1"/>
  <c r="L43" i="1" s="1"/>
  <c r="K44" i="1"/>
  <c r="L44" i="1" s="1"/>
  <c r="K45" i="1"/>
  <c r="L45" i="1" s="1"/>
  <c r="K46" i="1"/>
  <c r="L46" i="1" s="1"/>
  <c r="K47" i="1"/>
  <c r="L47" i="1" s="1"/>
  <c r="K48" i="1"/>
  <c r="L48" i="1" s="1"/>
  <c r="K49" i="1"/>
  <c r="L49" i="1" s="1"/>
  <c r="K50" i="1"/>
  <c r="L50" i="1" s="1"/>
  <c r="K51" i="1"/>
  <c r="L51" i="1" s="1"/>
  <c r="K52" i="1"/>
  <c r="L52" i="1" s="1"/>
  <c r="K53" i="1"/>
  <c r="L53" i="1" s="1"/>
  <c r="K54" i="1"/>
  <c r="L54" i="1" s="1"/>
  <c r="K55" i="1"/>
  <c r="L55" i="1" s="1"/>
  <c r="K56" i="1"/>
  <c r="L56" i="1" s="1"/>
  <c r="K57" i="1"/>
  <c r="L57" i="1" s="1"/>
  <c r="K58" i="1"/>
  <c r="L58" i="1" s="1"/>
  <c r="K59" i="1"/>
  <c r="L59" i="1" s="1"/>
  <c r="K60" i="1"/>
  <c r="L60" i="1" s="1"/>
  <c r="K61" i="1"/>
  <c r="L61" i="1" s="1"/>
  <c r="K62" i="1"/>
  <c r="L62" i="1" s="1"/>
  <c r="K63" i="1"/>
  <c r="L63" i="1" s="1"/>
  <c r="K64" i="1"/>
  <c r="L64" i="1" s="1"/>
  <c r="K65" i="1"/>
  <c r="L65" i="1" s="1"/>
  <c r="K66" i="1"/>
  <c r="L66" i="1" s="1"/>
  <c r="K67" i="1"/>
  <c r="L67" i="1" s="1"/>
  <c r="K68" i="1"/>
  <c r="L68" i="1" s="1"/>
  <c r="K69" i="1"/>
  <c r="L69" i="1" s="1"/>
  <c r="K70" i="1"/>
  <c r="L70" i="1" s="1"/>
  <c r="K71" i="1"/>
  <c r="L71" i="1" s="1"/>
  <c r="K72" i="1"/>
  <c r="L72" i="1" s="1"/>
  <c r="K73" i="1"/>
  <c r="L73" i="1" s="1"/>
  <c r="K74" i="1"/>
  <c r="L74" i="1" s="1"/>
  <c r="K75" i="1"/>
  <c r="L75" i="1" s="1"/>
  <c r="K76" i="1"/>
  <c r="L76" i="1" s="1"/>
  <c r="K77" i="1"/>
  <c r="L77" i="1" s="1"/>
  <c r="K78" i="1"/>
  <c r="L78" i="1" s="1"/>
  <c r="K79" i="1"/>
  <c r="L79" i="1" s="1"/>
  <c r="K80" i="1"/>
  <c r="L80" i="1" s="1"/>
  <c r="K81" i="1"/>
  <c r="L81" i="1" s="1"/>
  <c r="K82" i="1"/>
  <c r="L82" i="1" s="1"/>
  <c r="K83" i="1"/>
  <c r="L83" i="1" s="1"/>
  <c r="K84" i="1"/>
  <c r="L84" i="1" s="1"/>
  <c r="K85" i="1"/>
  <c r="L85" i="1" s="1"/>
  <c r="K86" i="1"/>
  <c r="L86" i="1" s="1"/>
  <c r="K87" i="1"/>
  <c r="L87" i="1" s="1"/>
  <c r="K88" i="1"/>
  <c r="L88" i="1" s="1"/>
  <c r="K89" i="1"/>
  <c r="L89" i="1" s="1"/>
  <c r="K90" i="1"/>
  <c r="L90" i="1" s="1"/>
  <c r="K91" i="1"/>
  <c r="L91" i="1" s="1"/>
  <c r="K92" i="1"/>
  <c r="L92" i="1" s="1"/>
  <c r="K93" i="1"/>
  <c r="L93" i="1" s="1"/>
  <c r="K94" i="1"/>
  <c r="L94" i="1" s="1"/>
  <c r="K95" i="1"/>
  <c r="L95" i="1" s="1"/>
  <c r="K96" i="1"/>
  <c r="L96" i="1" s="1"/>
  <c r="K97" i="1"/>
  <c r="L97" i="1" s="1"/>
  <c r="K98" i="1"/>
  <c r="L98" i="1" s="1"/>
  <c r="K99" i="1"/>
  <c r="L99" i="1" s="1"/>
  <c r="K100" i="1"/>
  <c r="L100" i="1" s="1"/>
  <c r="K101" i="1"/>
  <c r="L101" i="1" s="1"/>
  <c r="K102" i="1"/>
  <c r="L102" i="1" s="1"/>
  <c r="K103" i="1"/>
  <c r="L103" i="1" s="1"/>
  <c r="K104" i="1"/>
  <c r="L104" i="1" s="1"/>
  <c r="K105" i="1"/>
  <c r="L105" i="1" s="1"/>
  <c r="K106" i="1"/>
  <c r="L106" i="1" s="1"/>
  <c r="K107" i="1"/>
  <c r="L107" i="1" s="1"/>
  <c r="K108" i="1"/>
  <c r="L108" i="1" s="1"/>
  <c r="K109" i="1"/>
  <c r="L109" i="1" s="1"/>
  <c r="K110" i="1"/>
  <c r="L110" i="1" s="1"/>
  <c r="K111" i="1"/>
  <c r="L111" i="1" s="1"/>
  <c r="K112" i="1"/>
  <c r="L112" i="1" s="1"/>
  <c r="K113" i="1"/>
  <c r="L113" i="1" s="1"/>
  <c r="K114" i="1"/>
  <c r="L114" i="1" s="1"/>
  <c r="K115" i="1"/>
  <c r="L115" i="1" s="1"/>
  <c r="K116" i="1"/>
  <c r="L116" i="1" s="1"/>
  <c r="K117" i="1"/>
  <c r="L117" i="1" s="1"/>
  <c r="K118" i="1"/>
  <c r="L118" i="1" s="1"/>
  <c r="K119" i="1"/>
  <c r="L119" i="1" s="1"/>
  <c r="K120" i="1"/>
  <c r="L120" i="1" s="1"/>
  <c r="K121" i="1"/>
  <c r="L121" i="1" s="1"/>
  <c r="K122" i="1"/>
  <c r="L122" i="1" s="1"/>
  <c r="K123" i="1"/>
  <c r="L123" i="1" s="1"/>
  <c r="K124" i="1"/>
  <c r="L124" i="1" s="1"/>
  <c r="K125" i="1"/>
  <c r="L125" i="1" s="1"/>
  <c r="K126" i="1"/>
  <c r="L126" i="1" s="1"/>
  <c r="K127" i="1"/>
  <c r="L127" i="1" s="1"/>
  <c r="K128" i="1"/>
  <c r="L128" i="1" s="1"/>
  <c r="K129" i="1"/>
  <c r="L129" i="1" s="1"/>
  <c r="K130" i="1"/>
  <c r="L130" i="1" s="1"/>
  <c r="K131" i="1"/>
  <c r="L131" i="1" s="1"/>
  <c r="K132" i="1"/>
  <c r="L132" i="1" s="1"/>
  <c r="K133" i="1"/>
  <c r="L133" i="1" s="1"/>
  <c r="K134" i="1"/>
  <c r="L134" i="1" s="1"/>
  <c r="K135" i="1"/>
  <c r="L135" i="1" s="1"/>
  <c r="K136" i="1"/>
  <c r="L136" i="1" s="1"/>
  <c r="K137" i="1"/>
  <c r="L137" i="1" s="1"/>
  <c r="K138" i="1"/>
  <c r="L138" i="1" s="1"/>
  <c r="K139" i="1"/>
  <c r="L139" i="1" s="1"/>
  <c r="K140" i="1"/>
  <c r="L140" i="1" s="1"/>
  <c r="K141" i="1"/>
  <c r="L141" i="1" s="1"/>
  <c r="K142" i="1"/>
  <c r="L142" i="1" s="1"/>
  <c r="K143" i="1"/>
  <c r="L143" i="1" s="1"/>
  <c r="K144" i="1"/>
  <c r="L144" i="1" s="1"/>
  <c r="K145" i="1"/>
  <c r="L145" i="1" s="1"/>
  <c r="K146" i="1"/>
  <c r="L146" i="1" s="1"/>
  <c r="K147" i="1"/>
  <c r="L147" i="1" s="1"/>
  <c r="K148" i="1"/>
  <c r="L148" i="1" s="1"/>
  <c r="K149" i="1"/>
  <c r="L149" i="1" s="1"/>
  <c r="K150" i="1"/>
  <c r="L150" i="1" s="1"/>
  <c r="K151" i="1"/>
  <c r="L151" i="1" s="1"/>
  <c r="K152" i="1"/>
  <c r="L152" i="1" s="1"/>
  <c r="K153" i="1"/>
  <c r="L153" i="1" s="1"/>
  <c r="K154" i="1"/>
  <c r="L154" i="1" s="1"/>
  <c r="K155" i="1"/>
  <c r="L155" i="1" s="1"/>
  <c r="K156" i="1"/>
  <c r="L156" i="1" s="1"/>
  <c r="K157" i="1"/>
  <c r="L157" i="1" s="1"/>
  <c r="K158" i="1"/>
  <c r="L158" i="1" s="1"/>
  <c r="K159" i="1"/>
  <c r="L159" i="1" s="1"/>
  <c r="K160" i="1"/>
  <c r="L160" i="1" s="1"/>
  <c r="K161" i="1"/>
  <c r="L161" i="1" s="1"/>
  <c r="K162" i="1"/>
  <c r="L162" i="1" s="1"/>
  <c r="K163" i="1"/>
  <c r="L163" i="1" s="1"/>
  <c r="K164" i="1"/>
  <c r="L164" i="1" s="1"/>
  <c r="K165" i="1"/>
  <c r="L165" i="1" s="1"/>
  <c r="K166" i="1"/>
  <c r="L166" i="1" s="1"/>
  <c r="K167" i="1"/>
  <c r="L167" i="1" s="1"/>
  <c r="K168" i="1"/>
  <c r="L168" i="1" s="1"/>
  <c r="K169" i="1"/>
  <c r="L169" i="1" s="1"/>
  <c r="K170" i="1"/>
  <c r="L170" i="1" s="1"/>
  <c r="K171" i="1"/>
  <c r="L171" i="1" s="1"/>
  <c r="K172" i="1"/>
  <c r="L172" i="1" s="1"/>
  <c r="K173" i="1"/>
  <c r="L173" i="1" s="1"/>
  <c r="K174" i="1"/>
  <c r="L174" i="1" s="1"/>
  <c r="K175" i="1"/>
  <c r="L175" i="1" s="1"/>
  <c r="K176" i="1"/>
  <c r="L176" i="1" s="1"/>
  <c r="K177" i="1"/>
  <c r="L177" i="1" s="1"/>
  <c r="K178" i="1"/>
  <c r="L178" i="1" s="1"/>
  <c r="K179" i="1"/>
  <c r="L179" i="1" s="1"/>
  <c r="K180" i="1"/>
  <c r="L180" i="1" s="1"/>
  <c r="K181" i="1"/>
  <c r="L181" i="1" s="1"/>
  <c r="K182" i="1"/>
  <c r="L182" i="1" s="1"/>
  <c r="K183" i="1"/>
  <c r="L183" i="1" s="1"/>
  <c r="K184" i="1"/>
  <c r="L184" i="1" s="1"/>
  <c r="K185" i="1"/>
  <c r="L185" i="1" s="1"/>
  <c r="K186" i="1"/>
  <c r="L186" i="1" s="1"/>
  <c r="K187" i="1"/>
  <c r="L187" i="1" s="1"/>
  <c r="K188" i="1"/>
  <c r="L188" i="1" s="1"/>
  <c r="K189" i="1"/>
  <c r="L189" i="1" s="1"/>
  <c r="K190" i="1"/>
  <c r="L190" i="1" s="1"/>
  <c r="K191" i="1"/>
  <c r="L191" i="1" s="1"/>
  <c r="K192" i="1"/>
  <c r="L192" i="1" s="1"/>
  <c r="K193" i="1"/>
  <c r="L193" i="1" s="1"/>
  <c r="K194" i="1"/>
  <c r="L194" i="1" s="1"/>
  <c r="K195" i="1"/>
  <c r="L195" i="1" s="1"/>
  <c r="K196" i="1"/>
  <c r="L196" i="1" s="1"/>
  <c r="K197" i="1"/>
  <c r="L197" i="1" s="1"/>
  <c r="K198" i="1"/>
  <c r="L198" i="1" s="1"/>
  <c r="K199" i="1"/>
  <c r="L199" i="1" s="1"/>
  <c r="K200" i="1"/>
  <c r="L200" i="1" s="1"/>
  <c r="K201" i="1"/>
  <c r="L201" i="1" s="1"/>
  <c r="K202" i="1"/>
  <c r="L202" i="1" s="1"/>
  <c r="K203" i="1"/>
  <c r="L203" i="1" s="1"/>
  <c r="K204" i="1"/>
  <c r="L204" i="1" s="1"/>
  <c r="K205" i="1"/>
  <c r="L205" i="1" s="1"/>
  <c r="K206" i="1"/>
  <c r="L206" i="1" s="1"/>
  <c r="K207" i="1"/>
  <c r="L207" i="1" s="1"/>
  <c r="K208" i="1"/>
  <c r="L208" i="1" s="1"/>
  <c r="K209" i="1"/>
  <c r="L209" i="1" s="1"/>
  <c r="K210" i="1"/>
  <c r="L210" i="1" s="1"/>
  <c r="K211" i="1"/>
  <c r="L211" i="1" s="1"/>
  <c r="K212" i="1"/>
  <c r="L212" i="1" s="1"/>
  <c r="K213" i="1"/>
  <c r="L213" i="1" s="1"/>
  <c r="K214" i="1"/>
  <c r="L214" i="1" s="1"/>
  <c r="K215" i="1"/>
  <c r="L215" i="1" s="1"/>
  <c r="K216" i="1"/>
  <c r="L216" i="1" s="1"/>
  <c r="K217" i="1"/>
  <c r="L217" i="1" s="1"/>
  <c r="K218" i="1"/>
  <c r="L218" i="1" s="1"/>
  <c r="K219" i="1"/>
  <c r="L219" i="1" s="1"/>
  <c r="K220" i="1"/>
  <c r="L220" i="1" s="1"/>
  <c r="K221" i="1"/>
  <c r="L221" i="1" s="1"/>
  <c r="K222" i="1"/>
  <c r="L222" i="1" s="1"/>
  <c r="K223" i="1"/>
  <c r="L223" i="1" s="1"/>
  <c r="K224" i="1"/>
  <c r="L224" i="1" s="1"/>
  <c r="K225" i="1"/>
  <c r="L225" i="1" s="1"/>
  <c r="K226" i="1"/>
  <c r="L226" i="1" s="1"/>
  <c r="K227" i="1"/>
  <c r="L227" i="1" s="1"/>
  <c r="K228" i="1"/>
  <c r="L228" i="1" s="1"/>
  <c r="K229" i="1"/>
  <c r="L229" i="1" s="1"/>
  <c r="K230" i="1"/>
  <c r="L230" i="1" s="1"/>
  <c r="K231" i="1"/>
  <c r="L231" i="1" s="1"/>
  <c r="K232" i="1"/>
  <c r="L232" i="1" s="1"/>
  <c r="K233" i="1"/>
  <c r="L233" i="1" s="1"/>
  <c r="K234" i="1"/>
  <c r="L234" i="1" s="1"/>
  <c r="K235" i="1"/>
  <c r="L235" i="1" s="1"/>
  <c r="K236" i="1"/>
  <c r="L236" i="1" s="1"/>
  <c r="K237" i="1"/>
  <c r="L237" i="1" s="1"/>
  <c r="K238" i="1"/>
  <c r="L238" i="1" s="1"/>
  <c r="K239" i="1"/>
  <c r="L239" i="1" s="1"/>
  <c r="K240" i="1"/>
  <c r="L240" i="1" s="1"/>
  <c r="K241" i="1"/>
  <c r="L241" i="1" s="1"/>
  <c r="K242" i="1"/>
  <c r="L242" i="1" s="1"/>
  <c r="K243" i="1"/>
  <c r="L243" i="1" s="1"/>
  <c r="K244" i="1"/>
  <c r="L244" i="1" s="1"/>
  <c r="K245" i="1"/>
  <c r="L245" i="1" s="1"/>
  <c r="K246" i="1"/>
  <c r="L246" i="1" s="1"/>
  <c r="K247" i="1"/>
  <c r="L247" i="1" s="1"/>
  <c r="K248" i="1"/>
  <c r="L248" i="1" s="1"/>
  <c r="K249" i="1"/>
  <c r="L249" i="1" s="1"/>
  <c r="K250" i="1"/>
  <c r="L250" i="1" s="1"/>
  <c r="K251" i="1"/>
  <c r="L251" i="1" s="1"/>
  <c r="K252" i="1"/>
  <c r="L252" i="1" s="1"/>
  <c r="K253" i="1"/>
  <c r="L253" i="1" s="1"/>
  <c r="K254" i="1"/>
  <c r="L254" i="1" s="1"/>
  <c r="K255" i="1"/>
  <c r="L255" i="1" s="1"/>
  <c r="K256" i="1"/>
  <c r="L256" i="1" s="1"/>
  <c r="K257" i="1"/>
  <c r="L257" i="1" s="1"/>
  <c r="K258" i="1"/>
  <c r="L258" i="1" s="1"/>
  <c r="K259" i="1"/>
  <c r="L259" i="1" s="1"/>
  <c r="K260" i="1"/>
  <c r="L260" i="1" s="1"/>
  <c r="K261" i="1"/>
  <c r="L261" i="1" s="1"/>
  <c r="K262" i="1"/>
  <c r="L262" i="1" s="1"/>
  <c r="K263" i="1"/>
  <c r="L263" i="1" s="1"/>
  <c r="K264" i="1"/>
  <c r="L264" i="1" s="1"/>
  <c r="K265" i="1"/>
  <c r="L265" i="1" s="1"/>
  <c r="K266" i="1"/>
  <c r="L266" i="1" s="1"/>
  <c r="K267" i="1"/>
  <c r="L267" i="1" s="1"/>
  <c r="K268" i="1"/>
  <c r="L268" i="1" s="1"/>
  <c r="K269" i="1"/>
  <c r="L269" i="1" s="1"/>
  <c r="K270" i="1"/>
  <c r="L270" i="1" s="1"/>
  <c r="K271" i="1"/>
  <c r="L271" i="1" s="1"/>
  <c r="K272" i="1"/>
  <c r="L272" i="1" s="1"/>
  <c r="K273" i="1"/>
  <c r="L273" i="1" s="1"/>
  <c r="K274" i="1"/>
  <c r="L274" i="1" s="1"/>
  <c r="K275" i="1"/>
  <c r="L275" i="1" s="1"/>
  <c r="K276" i="1"/>
  <c r="L276" i="1" s="1"/>
  <c r="K277" i="1"/>
  <c r="L277" i="1" s="1"/>
  <c r="K278" i="1"/>
  <c r="L278" i="1" s="1"/>
  <c r="K279" i="1"/>
  <c r="L279" i="1" s="1"/>
  <c r="K280" i="1"/>
  <c r="L280" i="1" s="1"/>
  <c r="K281" i="1"/>
  <c r="L281" i="1" s="1"/>
  <c r="K282" i="1"/>
  <c r="L282" i="1" s="1"/>
  <c r="K283" i="1"/>
  <c r="L283" i="1" s="1"/>
  <c r="K284" i="1"/>
  <c r="L284" i="1" s="1"/>
  <c r="K285" i="1"/>
  <c r="L285" i="1" s="1"/>
  <c r="K286" i="1"/>
  <c r="L286" i="1" s="1"/>
  <c r="K287" i="1"/>
  <c r="L287" i="1" s="1"/>
  <c r="K288" i="1"/>
  <c r="L288" i="1" s="1"/>
  <c r="K289" i="1"/>
  <c r="L289" i="1" s="1"/>
  <c r="K290" i="1"/>
  <c r="L290" i="1" s="1"/>
  <c r="K291" i="1"/>
  <c r="L291" i="1" s="1"/>
  <c r="K292" i="1"/>
  <c r="L292" i="1" s="1"/>
  <c r="K293" i="1"/>
  <c r="L293" i="1" s="1"/>
  <c r="K294" i="1"/>
  <c r="L294" i="1" s="1"/>
  <c r="K295" i="1"/>
  <c r="L295" i="1" s="1"/>
  <c r="K296" i="1"/>
  <c r="L296" i="1" s="1"/>
  <c r="K297" i="1"/>
  <c r="L297" i="1" s="1"/>
  <c r="K298" i="1"/>
  <c r="L298" i="1" s="1"/>
  <c r="K299" i="1"/>
  <c r="L299" i="1" s="1"/>
  <c r="K300" i="1"/>
  <c r="L300" i="1" s="1"/>
  <c r="K301" i="1"/>
  <c r="L301" i="1" s="1"/>
  <c r="K302" i="1"/>
  <c r="L302" i="1" s="1"/>
  <c r="K303" i="1"/>
  <c r="L303" i="1" s="1"/>
  <c r="K304" i="1"/>
  <c r="L304" i="1" s="1"/>
  <c r="K305" i="1"/>
  <c r="L305" i="1" s="1"/>
  <c r="K306" i="1"/>
  <c r="L306" i="1" s="1"/>
  <c r="K307" i="1"/>
  <c r="L307" i="1" s="1"/>
  <c r="K308" i="1"/>
  <c r="L308" i="1" s="1"/>
  <c r="K309" i="1"/>
  <c r="L309" i="1" s="1"/>
  <c r="K310" i="1"/>
  <c r="L310" i="1" s="1"/>
  <c r="K311" i="1"/>
  <c r="L311" i="1" s="1"/>
  <c r="K312" i="1"/>
  <c r="L312" i="1" s="1"/>
  <c r="K313" i="1"/>
  <c r="L313" i="1" s="1"/>
  <c r="K314" i="1"/>
  <c r="L314" i="1" s="1"/>
  <c r="K315" i="1"/>
  <c r="L315" i="1" s="1"/>
  <c r="K316" i="1"/>
  <c r="L316" i="1" s="1"/>
  <c r="K317" i="1"/>
  <c r="L317" i="1" s="1"/>
  <c r="K318" i="1"/>
  <c r="L318" i="1" s="1"/>
  <c r="K319" i="1"/>
  <c r="L319" i="1" s="1"/>
  <c r="K320" i="1"/>
  <c r="L320" i="1" s="1"/>
  <c r="K321" i="1"/>
  <c r="L321" i="1" s="1"/>
  <c r="K322" i="1"/>
  <c r="L322" i="1" s="1"/>
  <c r="K323" i="1"/>
  <c r="L323" i="1" s="1"/>
  <c r="K324" i="1"/>
  <c r="L324" i="1" s="1"/>
  <c r="K325" i="1"/>
  <c r="L325" i="1" s="1"/>
  <c r="K326" i="1"/>
  <c r="L326" i="1" s="1"/>
  <c r="K327" i="1"/>
  <c r="L327" i="1" s="1"/>
  <c r="K328" i="1"/>
  <c r="L328" i="1" s="1"/>
  <c r="K329" i="1"/>
  <c r="L329" i="1" s="1"/>
  <c r="K330" i="1"/>
  <c r="L330" i="1" s="1"/>
  <c r="K331" i="1"/>
  <c r="L331" i="1" s="1"/>
  <c r="K332" i="1"/>
  <c r="L332" i="1" s="1"/>
  <c r="K333" i="1"/>
  <c r="L333" i="1" s="1"/>
  <c r="K334" i="1"/>
  <c r="L334" i="1" s="1"/>
  <c r="K335" i="1"/>
  <c r="L335" i="1" s="1"/>
  <c r="K336" i="1"/>
  <c r="L336" i="1" s="1"/>
  <c r="K337" i="1"/>
  <c r="L337" i="1" s="1"/>
  <c r="K338" i="1"/>
  <c r="L338" i="1" s="1"/>
  <c r="K339" i="1"/>
  <c r="L339" i="1" s="1"/>
  <c r="K340" i="1"/>
  <c r="L340" i="1" s="1"/>
  <c r="K341" i="1"/>
  <c r="L341" i="1" s="1"/>
  <c r="K342" i="1"/>
  <c r="L342" i="1" s="1"/>
  <c r="K343" i="1"/>
  <c r="L343" i="1" s="1"/>
  <c r="K344" i="1"/>
  <c r="L344" i="1" s="1"/>
  <c r="K345" i="1"/>
  <c r="L345" i="1" s="1"/>
  <c r="K346" i="1"/>
  <c r="L346" i="1" s="1"/>
  <c r="K347" i="1"/>
  <c r="L347" i="1" s="1"/>
  <c r="K348" i="1"/>
  <c r="L348" i="1" s="1"/>
  <c r="K349" i="1"/>
  <c r="L349" i="1" s="1"/>
  <c r="K350" i="1"/>
  <c r="L350" i="1" s="1"/>
  <c r="K351" i="1"/>
  <c r="L351" i="1" s="1"/>
  <c r="K352" i="1"/>
  <c r="L352" i="1" s="1"/>
  <c r="K353" i="1"/>
  <c r="L353" i="1" s="1"/>
  <c r="K354" i="1"/>
  <c r="L354" i="1" s="1"/>
  <c r="K355" i="1"/>
  <c r="L355" i="1" s="1"/>
  <c r="K356" i="1"/>
  <c r="L356" i="1" s="1"/>
  <c r="K357" i="1"/>
  <c r="L357" i="1" s="1"/>
  <c r="K358" i="1"/>
  <c r="L358" i="1" s="1"/>
  <c r="K359" i="1"/>
  <c r="L359" i="1" s="1"/>
  <c r="K360" i="1"/>
  <c r="L360" i="1" s="1"/>
  <c r="K361" i="1"/>
  <c r="L361" i="1" s="1"/>
  <c r="K362" i="1"/>
  <c r="L362" i="1" s="1"/>
  <c r="K363" i="1"/>
  <c r="L363" i="1" s="1"/>
  <c r="K364" i="1"/>
  <c r="L364" i="1" s="1"/>
  <c r="K365" i="1"/>
  <c r="L365" i="1" s="1"/>
  <c r="K366" i="1"/>
  <c r="L366" i="1" s="1"/>
  <c r="K367" i="1"/>
  <c r="L367" i="1" s="1"/>
  <c r="K368" i="1"/>
  <c r="L368" i="1" s="1"/>
  <c r="K369" i="1"/>
  <c r="L369" i="1" s="1"/>
  <c r="K370" i="1"/>
  <c r="L370" i="1" s="1"/>
  <c r="K371" i="1"/>
  <c r="L371" i="1" s="1"/>
  <c r="K372" i="1"/>
  <c r="L372" i="1" s="1"/>
  <c r="K373" i="1"/>
  <c r="L373" i="1" s="1"/>
  <c r="K374" i="1"/>
  <c r="L374" i="1" s="1"/>
  <c r="K375" i="1"/>
  <c r="L375" i="1" s="1"/>
  <c r="K376" i="1"/>
  <c r="L376" i="1" s="1"/>
  <c r="K377" i="1"/>
  <c r="L377" i="1" s="1"/>
  <c r="K378" i="1"/>
  <c r="L378" i="1" s="1"/>
  <c r="K379" i="1"/>
  <c r="L379" i="1" s="1"/>
  <c r="K380" i="1"/>
  <c r="L380" i="1" s="1"/>
  <c r="K381" i="1"/>
  <c r="L381" i="1" s="1"/>
  <c r="K382" i="1"/>
  <c r="L382" i="1" s="1"/>
  <c r="K383" i="1"/>
  <c r="L383" i="1" s="1"/>
  <c r="K384" i="1"/>
  <c r="L384" i="1" s="1"/>
  <c r="K385" i="1"/>
  <c r="L385" i="1" s="1"/>
  <c r="K386" i="1"/>
  <c r="L386" i="1" s="1"/>
  <c r="K387" i="1"/>
  <c r="L387" i="1" s="1"/>
  <c r="K388" i="1"/>
  <c r="L388" i="1" s="1"/>
  <c r="K389" i="1"/>
  <c r="L389" i="1" s="1"/>
  <c r="K390" i="1"/>
  <c r="L390" i="1" s="1"/>
  <c r="K391" i="1"/>
  <c r="L391" i="1" s="1"/>
  <c r="K392" i="1"/>
  <c r="L392" i="1" s="1"/>
  <c r="K393" i="1"/>
  <c r="L393" i="1" s="1"/>
  <c r="K394" i="1"/>
  <c r="L394" i="1" s="1"/>
  <c r="K395" i="1"/>
  <c r="L395" i="1" s="1"/>
  <c r="K396" i="1"/>
  <c r="L396" i="1" s="1"/>
  <c r="K397" i="1"/>
  <c r="L397" i="1" s="1"/>
  <c r="K398" i="1"/>
  <c r="L398" i="1" s="1"/>
  <c r="K399" i="1"/>
  <c r="L399" i="1" s="1"/>
  <c r="K400" i="1"/>
  <c r="L400" i="1" s="1"/>
  <c r="K401" i="1"/>
  <c r="L401" i="1" s="1"/>
  <c r="K402" i="1"/>
  <c r="L402" i="1" s="1"/>
  <c r="K403" i="1"/>
  <c r="L403" i="1" s="1"/>
  <c r="K404" i="1"/>
  <c r="L404" i="1" s="1"/>
  <c r="K405" i="1"/>
  <c r="L405" i="1" s="1"/>
  <c r="K406" i="1"/>
  <c r="L406" i="1" s="1"/>
  <c r="K407" i="1"/>
  <c r="L407" i="1" s="1"/>
  <c r="K408" i="1"/>
  <c r="L408" i="1" s="1"/>
  <c r="K409" i="1"/>
  <c r="L409" i="1" s="1"/>
  <c r="K410" i="1"/>
  <c r="L410" i="1" s="1"/>
  <c r="K411" i="1"/>
  <c r="L411" i="1" s="1"/>
  <c r="K412" i="1"/>
  <c r="L412" i="1" s="1"/>
  <c r="K413" i="1"/>
  <c r="L413" i="1" s="1"/>
  <c r="K414" i="1"/>
  <c r="L414" i="1" s="1"/>
  <c r="K415" i="1"/>
  <c r="L415" i="1" s="1"/>
  <c r="K416" i="1"/>
  <c r="L416" i="1" s="1"/>
  <c r="K417" i="1"/>
  <c r="L417" i="1" s="1"/>
  <c r="K418" i="1"/>
  <c r="L418" i="1" s="1"/>
  <c r="K419" i="1"/>
  <c r="L419" i="1" s="1"/>
  <c r="K420" i="1"/>
  <c r="L420" i="1" s="1"/>
  <c r="K421" i="1"/>
  <c r="L421" i="1" s="1"/>
  <c r="K422" i="1"/>
  <c r="L422" i="1" s="1"/>
  <c r="K423" i="1"/>
  <c r="L423" i="1" s="1"/>
  <c r="K424" i="1"/>
  <c r="L424" i="1" s="1"/>
  <c r="K425" i="1"/>
  <c r="L425" i="1" s="1"/>
  <c r="K426" i="1"/>
  <c r="L426" i="1" s="1"/>
  <c r="K427" i="1"/>
  <c r="L427" i="1" s="1"/>
  <c r="K428" i="1"/>
  <c r="L428" i="1" s="1"/>
  <c r="K429" i="1"/>
  <c r="L429" i="1" s="1"/>
  <c r="K430" i="1"/>
  <c r="L430" i="1" s="1"/>
  <c r="K431" i="1"/>
  <c r="L431" i="1" s="1"/>
  <c r="K432" i="1"/>
  <c r="L432" i="1" s="1"/>
  <c r="K433" i="1"/>
  <c r="L433" i="1" s="1"/>
  <c r="K434" i="1"/>
  <c r="L434" i="1" s="1"/>
  <c r="K435" i="1"/>
  <c r="L435" i="1" s="1"/>
  <c r="K436" i="1"/>
  <c r="L436" i="1" s="1"/>
  <c r="K437" i="1"/>
  <c r="L437" i="1" s="1"/>
  <c r="K438" i="1"/>
  <c r="L438" i="1" s="1"/>
  <c r="K439" i="1"/>
  <c r="L439" i="1" s="1"/>
  <c r="K440" i="1"/>
  <c r="L440" i="1" s="1"/>
  <c r="K441" i="1"/>
  <c r="L441" i="1" s="1"/>
  <c r="K442" i="1"/>
  <c r="L442" i="1" s="1"/>
  <c r="K443" i="1"/>
  <c r="L443" i="1" s="1"/>
  <c r="K444" i="1"/>
  <c r="L444" i="1" s="1"/>
  <c r="K445" i="1"/>
  <c r="L445" i="1" s="1"/>
  <c r="K446" i="1"/>
  <c r="L446" i="1" s="1"/>
  <c r="K447" i="1"/>
  <c r="L447" i="1" s="1"/>
  <c r="K448" i="1"/>
  <c r="L448" i="1" s="1"/>
  <c r="K449" i="1"/>
  <c r="L449" i="1" s="1"/>
  <c r="K450" i="1"/>
  <c r="L450" i="1" s="1"/>
  <c r="K451" i="1"/>
  <c r="L451" i="1" s="1"/>
  <c r="K452" i="1"/>
  <c r="L452" i="1" s="1"/>
  <c r="K453" i="1"/>
  <c r="L453" i="1" s="1"/>
  <c r="K454" i="1"/>
  <c r="L454" i="1" s="1"/>
  <c r="K455" i="1"/>
  <c r="L455" i="1" s="1"/>
  <c r="K456" i="1"/>
  <c r="L456" i="1" s="1"/>
  <c r="K457" i="1"/>
  <c r="L457" i="1" s="1"/>
  <c r="K458" i="1"/>
  <c r="L458" i="1" s="1"/>
  <c r="K459" i="1"/>
  <c r="L459" i="1" s="1"/>
  <c r="K460" i="1"/>
  <c r="L460" i="1" s="1"/>
  <c r="K461" i="1"/>
  <c r="L461" i="1" s="1"/>
  <c r="K462" i="1"/>
  <c r="L462" i="1" s="1"/>
  <c r="K463" i="1"/>
  <c r="L463" i="1" s="1"/>
  <c r="K464" i="1"/>
  <c r="L464" i="1" s="1"/>
  <c r="K465" i="1"/>
  <c r="L465" i="1" s="1"/>
  <c r="K466" i="1"/>
  <c r="L466" i="1" s="1"/>
  <c r="K467" i="1"/>
  <c r="L467" i="1" s="1"/>
  <c r="K468" i="1"/>
  <c r="L468" i="1" s="1"/>
  <c r="K469" i="1"/>
  <c r="L469" i="1" s="1"/>
  <c r="K470" i="1"/>
  <c r="L470" i="1" s="1"/>
  <c r="K471" i="1"/>
  <c r="L471" i="1" s="1"/>
  <c r="K472" i="1"/>
  <c r="L472" i="1" s="1"/>
  <c r="K473" i="1"/>
  <c r="L473" i="1" s="1"/>
  <c r="K474" i="1"/>
  <c r="L474" i="1" s="1"/>
  <c r="K475" i="1"/>
  <c r="L475" i="1" s="1"/>
  <c r="K476" i="1"/>
  <c r="L476" i="1" s="1"/>
  <c r="K477" i="1"/>
  <c r="L477" i="1" s="1"/>
  <c r="K478" i="1"/>
  <c r="L478" i="1" s="1"/>
  <c r="K479" i="1"/>
  <c r="L479" i="1" s="1"/>
  <c r="K480" i="1"/>
  <c r="L480" i="1" s="1"/>
  <c r="K481" i="1"/>
  <c r="L481" i="1" s="1"/>
  <c r="K482" i="1"/>
  <c r="L482" i="1" s="1"/>
  <c r="K483" i="1"/>
  <c r="L483" i="1" s="1"/>
  <c r="K484" i="1"/>
  <c r="L484" i="1" s="1"/>
  <c r="K485" i="1"/>
  <c r="L485" i="1" s="1"/>
  <c r="K486" i="1"/>
  <c r="L486" i="1" s="1"/>
  <c r="K487" i="1"/>
  <c r="L487" i="1" s="1"/>
  <c r="K488" i="1"/>
  <c r="L488" i="1" s="1"/>
  <c r="K489" i="1"/>
  <c r="L489" i="1" s="1"/>
  <c r="K490" i="1"/>
  <c r="L490" i="1" s="1"/>
  <c r="K491" i="1"/>
  <c r="L491" i="1" s="1"/>
  <c r="K492" i="1"/>
  <c r="L492" i="1" s="1"/>
  <c r="K493" i="1"/>
  <c r="L493" i="1" s="1"/>
  <c r="K494" i="1"/>
  <c r="L494" i="1" s="1"/>
  <c r="K495" i="1"/>
  <c r="L495" i="1" s="1"/>
  <c r="K496" i="1"/>
  <c r="L496" i="1" s="1"/>
  <c r="K497" i="1"/>
  <c r="L497" i="1" s="1"/>
  <c r="K498" i="1"/>
  <c r="L498" i="1" s="1"/>
  <c r="K499" i="1"/>
  <c r="L499" i="1" s="1"/>
  <c r="K500" i="1"/>
  <c r="L500" i="1" s="1"/>
  <c r="K501" i="1"/>
  <c r="L501" i="1" s="1"/>
  <c r="K502" i="1"/>
  <c r="L502" i="1" s="1"/>
  <c r="K503" i="1"/>
  <c r="L503" i="1" s="1"/>
  <c r="K504" i="1"/>
  <c r="L504" i="1" s="1"/>
  <c r="K505" i="1"/>
  <c r="L505" i="1" s="1"/>
  <c r="K506" i="1"/>
  <c r="L506" i="1" s="1"/>
  <c r="K507" i="1"/>
  <c r="L507" i="1" s="1"/>
  <c r="K508" i="1"/>
  <c r="L508" i="1" s="1"/>
  <c r="K509" i="1"/>
  <c r="L509" i="1" s="1"/>
  <c r="K510" i="1"/>
  <c r="L510" i="1" s="1"/>
  <c r="K511" i="1"/>
  <c r="L511" i="1" s="1"/>
  <c r="K512" i="1"/>
  <c r="L512" i="1" s="1"/>
  <c r="K513" i="1"/>
  <c r="L513" i="1" s="1"/>
  <c r="K514" i="1"/>
  <c r="L514" i="1" s="1"/>
  <c r="K515" i="1"/>
  <c r="L515" i="1" s="1"/>
  <c r="K516" i="1"/>
  <c r="L516" i="1" s="1"/>
  <c r="K517" i="1"/>
  <c r="L517" i="1" s="1"/>
  <c r="K518" i="1"/>
  <c r="L518" i="1" s="1"/>
  <c r="K519" i="1"/>
  <c r="L519" i="1" s="1"/>
  <c r="K520" i="1"/>
  <c r="L520" i="1" s="1"/>
  <c r="K521" i="1"/>
  <c r="L521" i="1" s="1"/>
  <c r="K522" i="1"/>
  <c r="L522" i="1" s="1"/>
  <c r="K523" i="1"/>
  <c r="L523" i="1" s="1"/>
  <c r="K524" i="1"/>
  <c r="L524" i="1" s="1"/>
  <c r="K525" i="1"/>
  <c r="L525" i="1" s="1"/>
  <c r="K526" i="1"/>
  <c r="L526" i="1" s="1"/>
  <c r="K527" i="1"/>
  <c r="L527" i="1" s="1"/>
  <c r="K528" i="1"/>
  <c r="L528" i="1" s="1"/>
  <c r="K529" i="1"/>
  <c r="L529" i="1" s="1"/>
  <c r="K530" i="1"/>
  <c r="L530" i="1" s="1"/>
  <c r="K531" i="1"/>
  <c r="L531" i="1" s="1"/>
  <c r="K532" i="1"/>
  <c r="L532" i="1" s="1"/>
  <c r="K533" i="1"/>
  <c r="L533" i="1" s="1"/>
  <c r="K534" i="1"/>
  <c r="L534" i="1" s="1"/>
  <c r="K535" i="1"/>
  <c r="L535" i="1" s="1"/>
  <c r="K536" i="1"/>
  <c r="L536" i="1" s="1"/>
  <c r="K537" i="1"/>
  <c r="L537" i="1" s="1"/>
  <c r="K538" i="1"/>
  <c r="L538" i="1" s="1"/>
  <c r="K539" i="1"/>
  <c r="L539" i="1" s="1"/>
  <c r="K540" i="1"/>
  <c r="L540" i="1" s="1"/>
  <c r="K541" i="1"/>
  <c r="L541" i="1" s="1"/>
  <c r="K542" i="1"/>
  <c r="L542" i="1" s="1"/>
  <c r="K543" i="1"/>
  <c r="L543" i="1" s="1"/>
  <c r="K544" i="1"/>
  <c r="L544" i="1" s="1"/>
  <c r="K545" i="1"/>
  <c r="L545" i="1" s="1"/>
  <c r="K546" i="1"/>
  <c r="L546" i="1" s="1"/>
  <c r="K547" i="1"/>
  <c r="L547" i="1" s="1"/>
  <c r="K548" i="1"/>
  <c r="L548" i="1" s="1"/>
  <c r="K549" i="1"/>
  <c r="L549" i="1" s="1"/>
  <c r="K550" i="1"/>
  <c r="L550" i="1" s="1"/>
  <c r="K551" i="1"/>
  <c r="L551" i="1" s="1"/>
  <c r="K552" i="1"/>
  <c r="L552" i="1" s="1"/>
  <c r="K553" i="1"/>
  <c r="L553" i="1" s="1"/>
  <c r="K554" i="1"/>
  <c r="L554" i="1" s="1"/>
  <c r="K555" i="1"/>
  <c r="L555" i="1" s="1"/>
  <c r="K556" i="1"/>
  <c r="L556" i="1" s="1"/>
  <c r="K557" i="1"/>
  <c r="L557" i="1" s="1"/>
  <c r="K558" i="1"/>
  <c r="L558" i="1" s="1"/>
  <c r="K559" i="1"/>
  <c r="L559" i="1" s="1"/>
  <c r="K560" i="1"/>
  <c r="L560" i="1" s="1"/>
  <c r="K561" i="1"/>
  <c r="L561" i="1" s="1"/>
  <c r="K562" i="1"/>
  <c r="L562" i="1" s="1"/>
  <c r="K563" i="1"/>
  <c r="L563" i="1" s="1"/>
  <c r="K564" i="1"/>
  <c r="L564" i="1" s="1"/>
  <c r="K565" i="1"/>
  <c r="L565" i="1" s="1"/>
  <c r="K566" i="1"/>
  <c r="L566" i="1" s="1"/>
  <c r="K567" i="1"/>
  <c r="L567" i="1" s="1"/>
  <c r="K568" i="1"/>
  <c r="L568" i="1" s="1"/>
  <c r="K569" i="1"/>
  <c r="L569" i="1" s="1"/>
  <c r="K570" i="1"/>
  <c r="L570" i="1" s="1"/>
  <c r="K571" i="1"/>
  <c r="L571" i="1" s="1"/>
  <c r="K572" i="1"/>
  <c r="L572" i="1" s="1"/>
  <c r="K573" i="1"/>
  <c r="L573" i="1" s="1"/>
  <c r="K574" i="1"/>
  <c r="L574" i="1" s="1"/>
  <c r="K575" i="1"/>
  <c r="L575" i="1" s="1"/>
  <c r="K576" i="1"/>
  <c r="L576" i="1" s="1"/>
  <c r="K577" i="1"/>
  <c r="L577" i="1" s="1"/>
  <c r="K578" i="1"/>
  <c r="L578" i="1" s="1"/>
  <c r="K579" i="1"/>
  <c r="L579" i="1" s="1"/>
  <c r="K580" i="1"/>
  <c r="L580" i="1" s="1"/>
  <c r="K581" i="1"/>
  <c r="L581" i="1" s="1"/>
  <c r="K582" i="1"/>
  <c r="L582" i="1" s="1"/>
  <c r="K583" i="1"/>
  <c r="L583" i="1" s="1"/>
  <c r="K584" i="1"/>
  <c r="L584" i="1" s="1"/>
  <c r="K585" i="1"/>
  <c r="L585" i="1" s="1"/>
  <c r="K586" i="1"/>
  <c r="L586" i="1" s="1"/>
  <c r="K587" i="1"/>
  <c r="L587" i="1" s="1"/>
  <c r="K588" i="1"/>
  <c r="L588" i="1" s="1"/>
  <c r="K589" i="1"/>
  <c r="L589" i="1" s="1"/>
  <c r="K590" i="1"/>
  <c r="L590" i="1" s="1"/>
  <c r="K591" i="1"/>
  <c r="L591" i="1" s="1"/>
  <c r="K592" i="1"/>
  <c r="L592" i="1" s="1"/>
  <c r="K593" i="1"/>
  <c r="L593" i="1" s="1"/>
  <c r="K594" i="1"/>
  <c r="L594" i="1" s="1"/>
  <c r="K595" i="1"/>
  <c r="L595" i="1" s="1"/>
  <c r="K596" i="1"/>
  <c r="L596" i="1" s="1"/>
  <c r="K597" i="1"/>
  <c r="L597" i="1" s="1"/>
  <c r="K598" i="1"/>
  <c r="L598" i="1" s="1"/>
  <c r="K599" i="1"/>
  <c r="L599" i="1" s="1"/>
  <c r="K600" i="1"/>
  <c r="L600" i="1" s="1"/>
  <c r="K601" i="1"/>
  <c r="L601" i="1" s="1"/>
  <c r="K602" i="1"/>
  <c r="L602" i="1" s="1"/>
  <c r="K603" i="1"/>
  <c r="L603" i="1" s="1"/>
  <c r="K604" i="1"/>
  <c r="L604" i="1" s="1"/>
  <c r="K605" i="1"/>
  <c r="L605" i="1" s="1"/>
  <c r="K606" i="1"/>
  <c r="L606" i="1" s="1"/>
  <c r="K607" i="1"/>
  <c r="L607" i="1" s="1"/>
  <c r="K608" i="1"/>
  <c r="L608" i="1" s="1"/>
  <c r="K609" i="1"/>
  <c r="L609" i="1" s="1"/>
  <c r="K610" i="1"/>
  <c r="L610" i="1" s="1"/>
  <c r="K611" i="1"/>
  <c r="L611" i="1" s="1"/>
  <c r="K612" i="1"/>
  <c r="L612" i="1" s="1"/>
  <c r="K613" i="1"/>
  <c r="L613" i="1" s="1"/>
  <c r="K614" i="1"/>
  <c r="L614" i="1" s="1"/>
  <c r="K615" i="1"/>
  <c r="L615" i="1" s="1"/>
  <c r="K616" i="1"/>
  <c r="L616" i="1" s="1"/>
  <c r="K617" i="1"/>
  <c r="L617" i="1" s="1"/>
  <c r="K618" i="1"/>
  <c r="L618" i="1" s="1"/>
  <c r="K619" i="1"/>
  <c r="L619" i="1" s="1"/>
  <c r="K620" i="1"/>
  <c r="L620" i="1" s="1"/>
  <c r="K621" i="1"/>
  <c r="L621" i="1" s="1"/>
  <c r="K622" i="1"/>
  <c r="L622" i="1" s="1"/>
  <c r="K623" i="1"/>
  <c r="L623" i="1" s="1"/>
  <c r="K624" i="1"/>
  <c r="L624" i="1" s="1"/>
  <c r="K625" i="1"/>
  <c r="L625" i="1" s="1"/>
  <c r="K626" i="1"/>
  <c r="L626" i="1" s="1"/>
  <c r="K627" i="1"/>
  <c r="L627" i="1" s="1"/>
  <c r="K628" i="1"/>
  <c r="L628" i="1" s="1"/>
  <c r="K629" i="1"/>
  <c r="L629" i="1" s="1"/>
  <c r="K630" i="1"/>
  <c r="L630" i="1" s="1"/>
  <c r="K631" i="1"/>
  <c r="L631" i="1" s="1"/>
  <c r="K632" i="1"/>
  <c r="L632" i="1" s="1"/>
  <c r="K633" i="1"/>
  <c r="L633" i="1" s="1"/>
  <c r="K634" i="1"/>
  <c r="L634" i="1" s="1"/>
  <c r="K635" i="1"/>
  <c r="L635" i="1" s="1"/>
  <c r="K636" i="1"/>
  <c r="L636" i="1" s="1"/>
  <c r="K637" i="1"/>
  <c r="L637" i="1" s="1"/>
  <c r="K638" i="1"/>
  <c r="L638" i="1" s="1"/>
  <c r="K639" i="1"/>
  <c r="L639" i="1" s="1"/>
  <c r="K640" i="1"/>
  <c r="L640" i="1" s="1"/>
  <c r="K641" i="1"/>
  <c r="L641" i="1" s="1"/>
  <c r="K642" i="1"/>
  <c r="L642" i="1" s="1"/>
  <c r="K643" i="1"/>
  <c r="L643" i="1" s="1"/>
  <c r="K644" i="1"/>
  <c r="L644" i="1" s="1"/>
  <c r="K645" i="1"/>
  <c r="L645" i="1" s="1"/>
  <c r="K646" i="1"/>
  <c r="L646" i="1" s="1"/>
  <c r="K647" i="1"/>
  <c r="L647" i="1" s="1"/>
  <c r="K648" i="1"/>
  <c r="L648" i="1" s="1"/>
  <c r="K649" i="1"/>
  <c r="L649" i="1" s="1"/>
  <c r="K650" i="1"/>
  <c r="L650" i="1" s="1"/>
  <c r="K651" i="1"/>
  <c r="L651" i="1" s="1"/>
  <c r="K652" i="1"/>
  <c r="L652" i="1" s="1"/>
  <c r="K653" i="1"/>
  <c r="L653" i="1" s="1"/>
  <c r="K654" i="1"/>
  <c r="L654" i="1" s="1"/>
  <c r="K655" i="1"/>
  <c r="L655" i="1" s="1"/>
  <c r="K656" i="1"/>
  <c r="L656" i="1" s="1"/>
  <c r="K657" i="1"/>
  <c r="L657" i="1" s="1"/>
  <c r="K658" i="1"/>
  <c r="L658" i="1" s="1"/>
  <c r="K659" i="1"/>
  <c r="L659" i="1" s="1"/>
  <c r="K660" i="1"/>
  <c r="L660" i="1" s="1"/>
  <c r="K661" i="1"/>
  <c r="L661" i="1" s="1"/>
  <c r="K662" i="1"/>
  <c r="L662" i="1" s="1"/>
  <c r="K663" i="1"/>
  <c r="L663" i="1" s="1"/>
  <c r="K664" i="1"/>
  <c r="L664" i="1" s="1"/>
  <c r="K665" i="1"/>
  <c r="L665" i="1" s="1"/>
  <c r="K666" i="1"/>
  <c r="L666" i="1" s="1"/>
  <c r="K667" i="1"/>
  <c r="L667" i="1" s="1"/>
  <c r="K668" i="1"/>
  <c r="L668" i="1" s="1"/>
  <c r="K669" i="1"/>
  <c r="L669" i="1" s="1"/>
  <c r="K670" i="1"/>
  <c r="L670" i="1" s="1"/>
  <c r="K671" i="1"/>
  <c r="L671" i="1" s="1"/>
  <c r="K672" i="1"/>
  <c r="L672" i="1" s="1"/>
  <c r="K673" i="1"/>
  <c r="L673" i="1" s="1"/>
  <c r="K674" i="1"/>
  <c r="L674" i="1" s="1"/>
  <c r="K675" i="1"/>
  <c r="L675" i="1" s="1"/>
  <c r="K676" i="1"/>
  <c r="L676" i="1" s="1"/>
  <c r="K677" i="1"/>
  <c r="L677" i="1" s="1"/>
  <c r="K678" i="1"/>
  <c r="L678" i="1" s="1"/>
  <c r="K679" i="1"/>
  <c r="L679" i="1" s="1"/>
  <c r="K680" i="1"/>
  <c r="L680" i="1" s="1"/>
  <c r="K681" i="1"/>
  <c r="L681" i="1" s="1"/>
  <c r="K682" i="1"/>
  <c r="L682" i="1" s="1"/>
  <c r="K683" i="1"/>
  <c r="L683" i="1" s="1"/>
  <c r="K684" i="1"/>
  <c r="L684" i="1" s="1"/>
  <c r="K685" i="1"/>
  <c r="L685" i="1" s="1"/>
  <c r="K686" i="1"/>
  <c r="L686" i="1" s="1"/>
  <c r="K687" i="1"/>
  <c r="L687" i="1" s="1"/>
  <c r="K688" i="1"/>
  <c r="L688" i="1" s="1"/>
  <c r="K689" i="1"/>
  <c r="L689" i="1" s="1"/>
  <c r="K690" i="1"/>
  <c r="L690" i="1" s="1"/>
  <c r="K691" i="1"/>
  <c r="L691" i="1" s="1"/>
  <c r="K692" i="1"/>
  <c r="L692" i="1" s="1"/>
  <c r="K693" i="1"/>
  <c r="L693" i="1" s="1"/>
  <c r="K694" i="1"/>
  <c r="L694" i="1" s="1"/>
  <c r="K695" i="1"/>
  <c r="L695" i="1" s="1"/>
  <c r="K696" i="1"/>
  <c r="L696" i="1" s="1"/>
  <c r="K697" i="1"/>
  <c r="L697" i="1" s="1"/>
  <c r="K698" i="1"/>
  <c r="L698" i="1" s="1"/>
  <c r="K699" i="1"/>
  <c r="L699" i="1" s="1"/>
  <c r="K700" i="1"/>
  <c r="L700" i="1" s="1"/>
  <c r="K701" i="1"/>
  <c r="L701" i="1" s="1"/>
  <c r="K702" i="1"/>
  <c r="L702" i="1" s="1"/>
  <c r="K703" i="1"/>
  <c r="L703" i="1" s="1"/>
  <c r="K704" i="1"/>
  <c r="L704" i="1" s="1"/>
  <c r="K705" i="1"/>
  <c r="L705" i="1" s="1"/>
  <c r="K706" i="1"/>
  <c r="L706" i="1" s="1"/>
  <c r="K707" i="1"/>
  <c r="L707" i="1" s="1"/>
  <c r="K708" i="1"/>
  <c r="L708" i="1" s="1"/>
  <c r="K709" i="1"/>
  <c r="L709" i="1" s="1"/>
  <c r="K710" i="1"/>
  <c r="L710" i="1" s="1"/>
  <c r="K711" i="1"/>
  <c r="L711" i="1" s="1"/>
  <c r="K712" i="1"/>
  <c r="L712" i="1" s="1"/>
  <c r="K713" i="1"/>
  <c r="L713" i="1" s="1"/>
  <c r="K714" i="1"/>
  <c r="L714" i="1" s="1"/>
  <c r="K715" i="1"/>
  <c r="L715" i="1" s="1"/>
  <c r="K716" i="1"/>
  <c r="L716" i="1" s="1"/>
  <c r="K717" i="1"/>
  <c r="L717" i="1" s="1"/>
  <c r="K718" i="1"/>
  <c r="L718" i="1" s="1"/>
  <c r="K719" i="1"/>
  <c r="L719" i="1" s="1"/>
  <c r="K720" i="1"/>
  <c r="L720" i="1" s="1"/>
  <c r="K721" i="1"/>
  <c r="L721" i="1" s="1"/>
  <c r="K722" i="1"/>
  <c r="L722" i="1" s="1"/>
  <c r="K723" i="1"/>
  <c r="L723" i="1" s="1"/>
  <c r="K724" i="1"/>
  <c r="L724" i="1" s="1"/>
  <c r="K725" i="1"/>
  <c r="L725" i="1" s="1"/>
  <c r="K726" i="1"/>
  <c r="L726" i="1" s="1"/>
  <c r="K727" i="1"/>
  <c r="L727" i="1" s="1"/>
  <c r="K728" i="1"/>
  <c r="L728" i="1" s="1"/>
  <c r="K729" i="1"/>
  <c r="L729" i="1" s="1"/>
  <c r="K730" i="1"/>
  <c r="L730" i="1" s="1"/>
  <c r="K731" i="1"/>
  <c r="L731" i="1" s="1"/>
  <c r="K732" i="1"/>
  <c r="L732" i="1" s="1"/>
  <c r="K733" i="1"/>
  <c r="L733" i="1" s="1"/>
  <c r="K734" i="1"/>
  <c r="L734" i="1" s="1"/>
  <c r="K735" i="1"/>
  <c r="L735" i="1" s="1"/>
  <c r="K736" i="1"/>
  <c r="L736" i="1" s="1"/>
  <c r="K737" i="1"/>
  <c r="L737" i="1" s="1"/>
  <c r="K738" i="1"/>
  <c r="L738" i="1" s="1"/>
  <c r="K739" i="1"/>
  <c r="L739" i="1" s="1"/>
  <c r="K740" i="1"/>
  <c r="L740" i="1" s="1"/>
  <c r="K741" i="1"/>
  <c r="L741" i="1" s="1"/>
  <c r="K742" i="1"/>
  <c r="L742" i="1" s="1"/>
  <c r="K743" i="1"/>
  <c r="L743" i="1" s="1"/>
  <c r="K744" i="1"/>
  <c r="L744" i="1" s="1"/>
  <c r="K745" i="1"/>
  <c r="L745" i="1" s="1"/>
  <c r="K746" i="1"/>
  <c r="L746" i="1" s="1"/>
  <c r="K747" i="1"/>
  <c r="L747" i="1" s="1"/>
  <c r="K748" i="1"/>
  <c r="L748" i="1" s="1"/>
  <c r="K749" i="1"/>
  <c r="L749" i="1" s="1"/>
  <c r="K750" i="1"/>
  <c r="L750" i="1" s="1"/>
  <c r="K751" i="1"/>
  <c r="L751" i="1" s="1"/>
  <c r="K752" i="1"/>
  <c r="L752" i="1" s="1"/>
  <c r="K753" i="1"/>
  <c r="L753" i="1" s="1"/>
  <c r="K754" i="1"/>
  <c r="L754" i="1" s="1"/>
  <c r="K755" i="1"/>
  <c r="L755" i="1" s="1"/>
  <c r="K756" i="1"/>
  <c r="L756" i="1" s="1"/>
  <c r="K757" i="1"/>
  <c r="L757" i="1" s="1"/>
  <c r="K758" i="1"/>
  <c r="L758" i="1" s="1"/>
  <c r="K759" i="1"/>
  <c r="L759" i="1" s="1"/>
  <c r="K760" i="1"/>
  <c r="L760" i="1" s="1"/>
  <c r="K761" i="1"/>
  <c r="L761" i="1" s="1"/>
  <c r="K762" i="1"/>
  <c r="L762" i="1" s="1"/>
  <c r="K763" i="1"/>
  <c r="L763" i="1" s="1"/>
  <c r="K764" i="1"/>
  <c r="L764" i="1" s="1"/>
  <c r="K765" i="1"/>
  <c r="L765" i="1" s="1"/>
  <c r="K766" i="1"/>
  <c r="L766" i="1" s="1"/>
  <c r="K767" i="1"/>
  <c r="L767" i="1" s="1"/>
  <c r="K768" i="1"/>
  <c r="L768" i="1" s="1"/>
  <c r="K769" i="1"/>
  <c r="L769" i="1" s="1"/>
  <c r="K770" i="1"/>
  <c r="L770" i="1" s="1"/>
  <c r="K771" i="1"/>
  <c r="L771" i="1" s="1"/>
  <c r="K772" i="1"/>
  <c r="L772" i="1" s="1"/>
  <c r="K773" i="1"/>
  <c r="L773" i="1" s="1"/>
  <c r="K774" i="1"/>
  <c r="L774" i="1" s="1"/>
  <c r="K775" i="1"/>
  <c r="L775" i="1" s="1"/>
  <c r="K776" i="1"/>
  <c r="L776" i="1" s="1"/>
  <c r="K777" i="1"/>
  <c r="L777" i="1" s="1"/>
  <c r="K778" i="1"/>
  <c r="L778" i="1" s="1"/>
  <c r="K779" i="1"/>
  <c r="L779" i="1" s="1"/>
  <c r="K780" i="1"/>
  <c r="L780" i="1" s="1"/>
  <c r="K781" i="1"/>
  <c r="L781" i="1" s="1"/>
  <c r="K782" i="1"/>
  <c r="L782" i="1" s="1"/>
  <c r="K783" i="1"/>
  <c r="L783" i="1" s="1"/>
  <c r="K784" i="1"/>
  <c r="L784" i="1" s="1"/>
  <c r="K785" i="1"/>
  <c r="L785" i="1" s="1"/>
  <c r="K786" i="1"/>
  <c r="L786" i="1" s="1"/>
  <c r="K787" i="1"/>
  <c r="L787" i="1" s="1"/>
  <c r="K788" i="1"/>
  <c r="L788" i="1" s="1"/>
  <c r="K789" i="1"/>
  <c r="L789" i="1" s="1"/>
  <c r="K790" i="1"/>
  <c r="L790" i="1" s="1"/>
  <c r="K791" i="1"/>
  <c r="L791" i="1" s="1"/>
  <c r="K792" i="1"/>
  <c r="L792" i="1" s="1"/>
  <c r="K793" i="1"/>
  <c r="L793" i="1" s="1"/>
  <c r="K794" i="1"/>
  <c r="L794" i="1" s="1"/>
  <c r="K795" i="1"/>
  <c r="L795" i="1" s="1"/>
  <c r="K796" i="1"/>
  <c r="L796" i="1" s="1"/>
  <c r="K797" i="1"/>
  <c r="L797" i="1" s="1"/>
  <c r="K798" i="1"/>
  <c r="L798" i="1" s="1"/>
  <c r="K799" i="1"/>
  <c r="L799" i="1" s="1"/>
  <c r="K800" i="1"/>
  <c r="L800" i="1" s="1"/>
  <c r="K801" i="1"/>
  <c r="L801" i="1" s="1"/>
  <c r="K802" i="1"/>
  <c r="L802" i="1" s="1"/>
  <c r="K803" i="1"/>
  <c r="L803" i="1" s="1"/>
  <c r="K804" i="1"/>
  <c r="L804" i="1" s="1"/>
  <c r="K805" i="1"/>
  <c r="L805" i="1" s="1"/>
  <c r="K806" i="1"/>
  <c r="L806" i="1" s="1"/>
  <c r="K807" i="1"/>
  <c r="L807" i="1" s="1"/>
  <c r="K808" i="1"/>
  <c r="L808" i="1" s="1"/>
  <c r="K809" i="1"/>
  <c r="L809" i="1" s="1"/>
  <c r="K810" i="1"/>
  <c r="L810" i="1" s="1"/>
  <c r="K811" i="1"/>
  <c r="L811" i="1" s="1"/>
  <c r="K812" i="1"/>
  <c r="L812" i="1" s="1"/>
  <c r="K813" i="1"/>
  <c r="L813" i="1" s="1"/>
  <c r="K814" i="1"/>
  <c r="L814" i="1" s="1"/>
  <c r="K815" i="1"/>
  <c r="L815" i="1" s="1"/>
  <c r="K816" i="1"/>
  <c r="L816" i="1" s="1"/>
  <c r="K817" i="1"/>
  <c r="L817" i="1" s="1"/>
  <c r="K818" i="1"/>
  <c r="L818" i="1" s="1"/>
  <c r="K819" i="1"/>
  <c r="L819" i="1" s="1"/>
  <c r="K820" i="1"/>
  <c r="L820" i="1" s="1"/>
  <c r="K821" i="1"/>
  <c r="L821" i="1" s="1"/>
  <c r="K822" i="1"/>
  <c r="L822" i="1" s="1"/>
  <c r="K823" i="1"/>
  <c r="L823" i="1" s="1"/>
  <c r="K824" i="1"/>
  <c r="L824" i="1" s="1"/>
  <c r="K825" i="1"/>
  <c r="L825" i="1" s="1"/>
  <c r="K826" i="1"/>
  <c r="L826" i="1" s="1"/>
  <c r="K827" i="1"/>
  <c r="L827" i="1" s="1"/>
  <c r="K828" i="1"/>
  <c r="L828" i="1" s="1"/>
  <c r="K829" i="1"/>
  <c r="L829" i="1" s="1"/>
  <c r="K830" i="1"/>
  <c r="L830" i="1" s="1"/>
  <c r="K831" i="1"/>
  <c r="L831" i="1" s="1"/>
  <c r="K832" i="1"/>
  <c r="L832" i="1" s="1"/>
  <c r="K833" i="1"/>
  <c r="L833" i="1" s="1"/>
  <c r="K834" i="1"/>
  <c r="L834" i="1" s="1"/>
  <c r="K835" i="1"/>
  <c r="L835" i="1" s="1"/>
  <c r="K836" i="1"/>
  <c r="L836" i="1" s="1"/>
  <c r="K837" i="1"/>
  <c r="L837" i="1" s="1"/>
  <c r="K838" i="1"/>
  <c r="L838" i="1" s="1"/>
  <c r="K839" i="1"/>
  <c r="L839" i="1" s="1"/>
  <c r="K840" i="1"/>
  <c r="L840" i="1" s="1"/>
  <c r="K841" i="1"/>
  <c r="L841" i="1" s="1"/>
  <c r="K842" i="1"/>
  <c r="L842" i="1" s="1"/>
  <c r="K843" i="1"/>
  <c r="L843" i="1" s="1"/>
  <c r="K844" i="1"/>
  <c r="L844" i="1" s="1"/>
  <c r="K845" i="1"/>
  <c r="L845" i="1" s="1"/>
  <c r="K846" i="1"/>
  <c r="L846" i="1" s="1"/>
  <c r="K847" i="1"/>
  <c r="L847" i="1" s="1"/>
  <c r="K848" i="1"/>
  <c r="L848" i="1" s="1"/>
  <c r="K849" i="1"/>
  <c r="L849" i="1" s="1"/>
  <c r="K850" i="1"/>
  <c r="L850" i="1" s="1"/>
  <c r="K851" i="1"/>
  <c r="L851" i="1" s="1"/>
  <c r="K852" i="1"/>
  <c r="L852" i="1" s="1"/>
  <c r="K853" i="1"/>
  <c r="L853" i="1" s="1"/>
  <c r="K854" i="1"/>
  <c r="L854" i="1" s="1"/>
  <c r="K855" i="1"/>
  <c r="L855" i="1" s="1"/>
  <c r="K856" i="1"/>
  <c r="L856" i="1" s="1"/>
  <c r="K857" i="1"/>
  <c r="L857" i="1" s="1"/>
  <c r="K858" i="1"/>
  <c r="L858" i="1" s="1"/>
  <c r="K859" i="1"/>
  <c r="L859" i="1" s="1"/>
  <c r="K860" i="1"/>
  <c r="L860" i="1" s="1"/>
  <c r="K861" i="1"/>
  <c r="L861" i="1" s="1"/>
  <c r="K862" i="1"/>
  <c r="L862" i="1" s="1"/>
  <c r="K863" i="1"/>
  <c r="L863" i="1" s="1"/>
  <c r="K864" i="1"/>
  <c r="L864" i="1" s="1"/>
  <c r="K865" i="1"/>
  <c r="L865" i="1" s="1"/>
  <c r="K866" i="1"/>
  <c r="L866" i="1" s="1"/>
  <c r="K867" i="1"/>
  <c r="L867" i="1" s="1"/>
  <c r="K868" i="1"/>
  <c r="L868" i="1" s="1"/>
  <c r="K869" i="1"/>
  <c r="L869" i="1" s="1"/>
  <c r="K870" i="1"/>
  <c r="L870" i="1" s="1"/>
  <c r="K871" i="1"/>
  <c r="L871" i="1" s="1"/>
  <c r="K872" i="1"/>
  <c r="L872" i="1" s="1"/>
  <c r="K873" i="1"/>
  <c r="L873" i="1" s="1"/>
  <c r="K874" i="1"/>
  <c r="L874" i="1" s="1"/>
  <c r="K875" i="1"/>
  <c r="L875" i="1" s="1"/>
  <c r="K876" i="1"/>
  <c r="L876" i="1" s="1"/>
  <c r="K877" i="1"/>
  <c r="L877" i="1" s="1"/>
  <c r="K878" i="1"/>
  <c r="L878" i="1" s="1"/>
  <c r="K879" i="1"/>
  <c r="L879" i="1" s="1"/>
  <c r="K880" i="1"/>
  <c r="L880" i="1" s="1"/>
  <c r="K881" i="1"/>
  <c r="L881" i="1" s="1"/>
  <c r="K882" i="1"/>
  <c r="L882" i="1" s="1"/>
  <c r="K883" i="1"/>
  <c r="L883" i="1" s="1"/>
  <c r="K884" i="1"/>
  <c r="L884" i="1" s="1"/>
  <c r="K885" i="1"/>
  <c r="L885" i="1" s="1"/>
  <c r="K886" i="1"/>
  <c r="L886" i="1" s="1"/>
  <c r="K887" i="1"/>
  <c r="L887" i="1" s="1"/>
  <c r="K888" i="1"/>
  <c r="L888" i="1" s="1"/>
  <c r="K889" i="1"/>
  <c r="L889" i="1" s="1"/>
  <c r="K890" i="1"/>
  <c r="L890" i="1" s="1"/>
  <c r="K891" i="1"/>
  <c r="L891" i="1" s="1"/>
  <c r="K892" i="1"/>
  <c r="L892" i="1" s="1"/>
  <c r="K893" i="1"/>
  <c r="L893" i="1" s="1"/>
  <c r="K894" i="1"/>
  <c r="L894" i="1" s="1"/>
  <c r="K895" i="1"/>
  <c r="L895" i="1" s="1"/>
  <c r="K896" i="1"/>
  <c r="L896" i="1" s="1"/>
  <c r="K897" i="1"/>
  <c r="L897" i="1" s="1"/>
  <c r="K898" i="1"/>
  <c r="L898" i="1" s="1"/>
  <c r="K899" i="1"/>
  <c r="L899" i="1" s="1"/>
  <c r="K900" i="1"/>
  <c r="L900" i="1" s="1"/>
  <c r="K901" i="1"/>
  <c r="L901" i="1" s="1"/>
  <c r="K902" i="1"/>
  <c r="L902" i="1" s="1"/>
  <c r="K903" i="1"/>
  <c r="L903" i="1" s="1"/>
  <c r="K904" i="1"/>
  <c r="L904" i="1" s="1"/>
  <c r="K905" i="1"/>
  <c r="L905" i="1" s="1"/>
  <c r="K906" i="1"/>
  <c r="L906" i="1" s="1"/>
  <c r="K907" i="1"/>
  <c r="L907" i="1" s="1"/>
  <c r="K908" i="1"/>
  <c r="L908" i="1" s="1"/>
  <c r="K909" i="1"/>
  <c r="L909" i="1" s="1"/>
  <c r="K910" i="1"/>
  <c r="L910" i="1" s="1"/>
  <c r="K911" i="1"/>
  <c r="L911" i="1" s="1"/>
  <c r="K912" i="1"/>
  <c r="L912" i="1" s="1"/>
  <c r="K913" i="1"/>
  <c r="L913" i="1" s="1"/>
  <c r="K914" i="1"/>
  <c r="L914" i="1" s="1"/>
  <c r="K915" i="1"/>
  <c r="L915" i="1" s="1"/>
  <c r="K916" i="1"/>
  <c r="L916" i="1" s="1"/>
  <c r="K917" i="1"/>
  <c r="L917" i="1" s="1"/>
  <c r="K918" i="1"/>
  <c r="L918" i="1" s="1"/>
  <c r="K919" i="1"/>
  <c r="L919" i="1" s="1"/>
  <c r="K920" i="1"/>
  <c r="L920" i="1" s="1"/>
  <c r="K921" i="1"/>
  <c r="L921" i="1" s="1"/>
  <c r="K922" i="1"/>
  <c r="L922" i="1" s="1"/>
  <c r="K923" i="1"/>
  <c r="L923" i="1" s="1"/>
  <c r="K924" i="1"/>
  <c r="L924" i="1" s="1"/>
  <c r="K925" i="1"/>
  <c r="L925" i="1" s="1"/>
  <c r="K926" i="1"/>
  <c r="L926" i="1" s="1"/>
  <c r="K927" i="1"/>
  <c r="L927" i="1" s="1"/>
  <c r="K928" i="1"/>
  <c r="L928" i="1" s="1"/>
  <c r="K929" i="1"/>
  <c r="L929" i="1" s="1"/>
  <c r="K930" i="1"/>
  <c r="L930" i="1" s="1"/>
  <c r="K931" i="1"/>
  <c r="L931" i="1" s="1"/>
  <c r="K932" i="1"/>
  <c r="L932" i="1" s="1"/>
  <c r="K933" i="1"/>
  <c r="L933" i="1" s="1"/>
  <c r="K934" i="1"/>
  <c r="L934" i="1" s="1"/>
  <c r="K935" i="1"/>
  <c r="L935" i="1" s="1"/>
  <c r="K936" i="1"/>
  <c r="L936" i="1" s="1"/>
  <c r="K937" i="1"/>
  <c r="L937" i="1" s="1"/>
  <c r="K938" i="1"/>
  <c r="L938" i="1" s="1"/>
  <c r="K939" i="1"/>
  <c r="L939" i="1" s="1"/>
  <c r="K940" i="1"/>
  <c r="L940" i="1" s="1"/>
  <c r="K941" i="1"/>
  <c r="L941" i="1" s="1"/>
  <c r="K942" i="1"/>
  <c r="L942" i="1" s="1"/>
  <c r="K943" i="1"/>
  <c r="L943" i="1" s="1"/>
  <c r="K944" i="1"/>
  <c r="L944" i="1" s="1"/>
  <c r="K945" i="1"/>
  <c r="L945" i="1" s="1"/>
  <c r="K946" i="1"/>
  <c r="L946" i="1" s="1"/>
  <c r="K947" i="1"/>
  <c r="L947" i="1" s="1"/>
  <c r="K948" i="1"/>
  <c r="L948" i="1" s="1"/>
  <c r="K949" i="1"/>
  <c r="L949" i="1" s="1"/>
  <c r="K950" i="1"/>
  <c r="L950" i="1" s="1"/>
  <c r="K951" i="1"/>
  <c r="L951" i="1" s="1"/>
  <c r="K952" i="1"/>
  <c r="L952" i="1" s="1"/>
  <c r="K953" i="1"/>
  <c r="L953" i="1" s="1"/>
  <c r="K954" i="1"/>
  <c r="L954" i="1" s="1"/>
  <c r="K955" i="1"/>
  <c r="L955" i="1" s="1"/>
  <c r="K956" i="1"/>
  <c r="L956" i="1" s="1"/>
  <c r="K957" i="1"/>
  <c r="L957" i="1" s="1"/>
  <c r="K958" i="1"/>
  <c r="L958" i="1" s="1"/>
  <c r="K959" i="1"/>
  <c r="L959" i="1" s="1"/>
  <c r="K960" i="1"/>
  <c r="L960" i="1" s="1"/>
  <c r="K961" i="1"/>
  <c r="L961" i="1" s="1"/>
  <c r="K962" i="1"/>
  <c r="L962" i="1" s="1"/>
  <c r="K963" i="1"/>
  <c r="L963" i="1" s="1"/>
  <c r="K964" i="1"/>
  <c r="L964" i="1" s="1"/>
  <c r="K965" i="1"/>
  <c r="L965" i="1" s="1"/>
  <c r="K966" i="1"/>
  <c r="L966" i="1" s="1"/>
  <c r="K967" i="1"/>
  <c r="L967" i="1" s="1"/>
  <c r="K968" i="1"/>
  <c r="L968" i="1" s="1"/>
  <c r="K969" i="1"/>
  <c r="L969" i="1" s="1"/>
  <c r="K970" i="1"/>
  <c r="L970" i="1" s="1"/>
  <c r="K971" i="1"/>
  <c r="L971" i="1" s="1"/>
  <c r="K972" i="1"/>
  <c r="L972" i="1" s="1"/>
  <c r="K973" i="1"/>
  <c r="L973" i="1" s="1"/>
  <c r="K974" i="1"/>
  <c r="L974" i="1" s="1"/>
  <c r="K975" i="1"/>
  <c r="L975" i="1" s="1"/>
  <c r="K976" i="1"/>
  <c r="L976" i="1" s="1"/>
  <c r="K977" i="1"/>
  <c r="L977" i="1" s="1"/>
  <c r="K978" i="1"/>
  <c r="L978" i="1" s="1"/>
  <c r="K979" i="1"/>
  <c r="L979" i="1" s="1"/>
  <c r="K980" i="1"/>
  <c r="L980" i="1" s="1"/>
  <c r="K981" i="1"/>
  <c r="L981" i="1" s="1"/>
  <c r="K982" i="1"/>
  <c r="L982" i="1" s="1"/>
  <c r="K983" i="1"/>
  <c r="L983" i="1" s="1"/>
  <c r="K984" i="1"/>
  <c r="L984" i="1" s="1"/>
  <c r="K985" i="1"/>
  <c r="L985" i="1" s="1"/>
  <c r="K986" i="1"/>
  <c r="L986" i="1" s="1"/>
  <c r="K987" i="1"/>
  <c r="L987" i="1" s="1"/>
  <c r="K988" i="1"/>
  <c r="L988" i="1" s="1"/>
  <c r="K989" i="1"/>
  <c r="L989" i="1" s="1"/>
  <c r="K990" i="1"/>
  <c r="L990" i="1" s="1"/>
  <c r="K991" i="1"/>
  <c r="L991" i="1" s="1"/>
  <c r="K992" i="1"/>
  <c r="L992" i="1" s="1"/>
  <c r="K993" i="1"/>
  <c r="L993" i="1" s="1"/>
  <c r="K994" i="1"/>
  <c r="L994" i="1" s="1"/>
  <c r="K995" i="1"/>
  <c r="L995" i="1" s="1"/>
  <c r="K996" i="1"/>
  <c r="L996" i="1" s="1"/>
  <c r="K997" i="1"/>
  <c r="L997" i="1" s="1"/>
  <c r="K998" i="1"/>
  <c r="L998" i="1" s="1"/>
  <c r="K999" i="1"/>
  <c r="L999" i="1" s="1"/>
  <c r="K1000" i="1"/>
  <c r="L1000" i="1" s="1"/>
  <c r="K1001" i="1"/>
  <c r="L1001" i="1" s="1"/>
  <c r="K1002" i="1"/>
  <c r="L1002" i="1" s="1"/>
  <c r="K1003" i="1"/>
  <c r="L1003" i="1" s="1"/>
  <c r="K1004" i="1"/>
  <c r="L1004" i="1" s="1"/>
  <c r="K1005" i="1"/>
  <c r="L1005" i="1" s="1"/>
  <c r="K1006" i="1"/>
  <c r="L1006" i="1" s="1"/>
  <c r="K1007" i="1"/>
  <c r="L1007" i="1" s="1"/>
  <c r="K1008" i="1"/>
  <c r="L1008" i="1" s="1"/>
  <c r="K1009" i="1"/>
  <c r="L1009" i="1" s="1"/>
  <c r="K1010" i="1"/>
  <c r="L1010" i="1" s="1"/>
  <c r="K1011" i="1"/>
  <c r="L1011" i="1" s="1"/>
  <c r="K1012" i="1"/>
  <c r="L1012" i="1" s="1"/>
  <c r="K1013" i="1"/>
  <c r="L1013" i="1" s="1"/>
  <c r="K1014" i="1"/>
  <c r="L1014" i="1" s="1"/>
  <c r="K1015" i="1"/>
  <c r="L1015" i="1" s="1"/>
  <c r="K1016" i="1"/>
  <c r="L1016" i="1" s="1"/>
  <c r="K1017" i="1"/>
  <c r="L1017" i="1" s="1"/>
  <c r="K1018" i="1"/>
  <c r="L1018" i="1" s="1"/>
  <c r="K1019" i="1"/>
  <c r="L1019" i="1" s="1"/>
  <c r="K1020" i="1"/>
  <c r="L1020" i="1" s="1"/>
  <c r="K1021" i="1"/>
  <c r="L1021" i="1" s="1"/>
  <c r="K1022" i="1"/>
  <c r="L1022" i="1" s="1"/>
  <c r="K1023" i="1"/>
  <c r="L1023" i="1" s="1"/>
  <c r="K1024" i="1"/>
  <c r="L1024" i="1" s="1"/>
  <c r="K1025" i="1"/>
  <c r="L1025" i="1" s="1"/>
  <c r="K1026" i="1"/>
  <c r="L1026" i="1" s="1"/>
  <c r="K1027" i="1"/>
  <c r="L1027" i="1" s="1"/>
  <c r="K1028" i="1"/>
  <c r="L1028" i="1" s="1"/>
  <c r="K1029" i="1"/>
  <c r="L1029" i="1" s="1"/>
  <c r="K1030" i="1"/>
  <c r="L1030" i="1" s="1"/>
  <c r="K1031" i="1"/>
  <c r="L1031" i="1" s="1"/>
  <c r="K1032" i="1"/>
  <c r="L1032" i="1" s="1"/>
  <c r="K1033" i="1"/>
  <c r="L1033" i="1" s="1"/>
  <c r="K1034" i="1"/>
  <c r="L1034" i="1" s="1"/>
  <c r="K1035" i="1"/>
  <c r="L1035" i="1" s="1"/>
  <c r="K1036" i="1"/>
  <c r="L1036" i="1" s="1"/>
  <c r="K1037" i="1"/>
  <c r="L1037" i="1" s="1"/>
  <c r="K1038" i="1"/>
  <c r="L1038" i="1" s="1"/>
  <c r="K1039" i="1"/>
  <c r="L1039" i="1" s="1"/>
  <c r="K1040" i="1"/>
  <c r="L1040" i="1" s="1"/>
  <c r="K1041" i="1"/>
  <c r="L1041" i="1" s="1"/>
  <c r="K1042" i="1"/>
  <c r="L1042" i="1" s="1"/>
  <c r="K1043" i="1"/>
  <c r="L1043" i="1" s="1"/>
  <c r="K1044" i="1"/>
  <c r="L1044" i="1" s="1"/>
  <c r="K1045" i="1"/>
  <c r="L1045" i="1" s="1"/>
  <c r="K1046" i="1"/>
  <c r="L1046" i="1" s="1"/>
  <c r="K1047" i="1"/>
  <c r="L1047" i="1" s="1"/>
  <c r="K1048" i="1"/>
  <c r="L1048" i="1" s="1"/>
  <c r="K1049" i="1"/>
  <c r="L1049" i="1" s="1"/>
  <c r="K1050" i="1"/>
  <c r="L1050" i="1" s="1"/>
  <c r="K1051" i="1"/>
  <c r="L1051" i="1" s="1"/>
  <c r="K1052" i="1"/>
  <c r="L1052" i="1" s="1"/>
  <c r="K1053" i="1"/>
  <c r="L1053" i="1" s="1"/>
  <c r="K1054" i="1"/>
  <c r="L1054" i="1" s="1"/>
  <c r="K1055" i="1"/>
  <c r="L1055" i="1" s="1"/>
  <c r="K1056" i="1"/>
  <c r="L1056" i="1" s="1"/>
  <c r="K1057" i="1"/>
  <c r="L1057" i="1" s="1"/>
  <c r="K1058" i="1"/>
  <c r="L1058" i="1" s="1"/>
  <c r="K1059" i="1"/>
  <c r="L1059" i="1" s="1"/>
  <c r="K1060" i="1"/>
  <c r="L1060" i="1" s="1"/>
  <c r="K1061" i="1"/>
  <c r="L1061" i="1" s="1"/>
  <c r="K1062" i="1"/>
  <c r="L1062" i="1" s="1"/>
  <c r="K1063" i="1"/>
  <c r="L1063" i="1" s="1"/>
  <c r="K1064" i="1"/>
  <c r="L1064" i="1" s="1"/>
  <c r="K1065" i="1"/>
  <c r="L1065" i="1" s="1"/>
  <c r="K1066" i="1"/>
  <c r="L1066" i="1" s="1"/>
  <c r="K1067" i="1"/>
  <c r="L1067" i="1" s="1"/>
  <c r="K1068" i="1"/>
  <c r="L1068" i="1" s="1"/>
  <c r="K1069" i="1"/>
  <c r="L1069" i="1" s="1"/>
  <c r="K1070" i="1"/>
  <c r="L1070" i="1" s="1"/>
  <c r="K1071" i="1"/>
  <c r="L1071" i="1" s="1"/>
  <c r="K1072" i="1"/>
  <c r="L1072" i="1" s="1"/>
  <c r="K1073" i="1"/>
  <c r="L1073" i="1" s="1"/>
  <c r="K1074" i="1"/>
  <c r="L1074" i="1" s="1"/>
  <c r="K1075" i="1"/>
  <c r="L1075" i="1" s="1"/>
  <c r="K1076" i="1"/>
  <c r="L1076" i="1" s="1"/>
  <c r="K1077" i="1"/>
  <c r="L1077" i="1" s="1"/>
  <c r="K1078" i="1"/>
  <c r="L1078" i="1" s="1"/>
  <c r="K1079" i="1"/>
  <c r="L1079" i="1" s="1"/>
  <c r="K1080" i="1"/>
  <c r="L1080" i="1" s="1"/>
  <c r="K1081" i="1"/>
  <c r="L1081" i="1" s="1"/>
  <c r="K1082" i="1"/>
  <c r="L1082" i="1" s="1"/>
  <c r="K1083" i="1"/>
  <c r="L1083" i="1" s="1"/>
  <c r="K1084" i="1"/>
  <c r="L1084" i="1" s="1"/>
  <c r="K1085" i="1"/>
  <c r="L1085" i="1" s="1"/>
  <c r="K1086" i="1"/>
  <c r="L1086" i="1" s="1"/>
  <c r="K1087" i="1"/>
  <c r="L1087" i="1" s="1"/>
  <c r="K1088" i="1"/>
  <c r="L1088" i="1" s="1"/>
  <c r="K1089" i="1"/>
  <c r="L1089" i="1" s="1"/>
  <c r="K1090" i="1"/>
  <c r="L1090" i="1" s="1"/>
  <c r="K1091" i="1"/>
  <c r="L1091" i="1" s="1"/>
  <c r="K1092" i="1"/>
  <c r="L1092" i="1" s="1"/>
  <c r="K1093" i="1"/>
  <c r="L1093" i="1" s="1"/>
  <c r="K1094" i="1"/>
  <c r="L1094" i="1" s="1"/>
  <c r="K1095" i="1"/>
  <c r="L1095" i="1" s="1"/>
  <c r="K1096" i="1"/>
  <c r="L1096" i="1" s="1"/>
  <c r="K1097" i="1"/>
  <c r="L1097" i="1" s="1"/>
  <c r="K1098" i="1"/>
  <c r="L1098" i="1" s="1"/>
  <c r="K1099" i="1"/>
  <c r="L1099" i="1" s="1"/>
  <c r="K1100" i="1"/>
  <c r="L1100" i="1" s="1"/>
  <c r="K1101" i="1"/>
  <c r="L1101" i="1" s="1"/>
  <c r="K1102" i="1"/>
  <c r="L1102" i="1" s="1"/>
  <c r="K1103" i="1"/>
  <c r="L1103" i="1" s="1"/>
  <c r="K1104" i="1"/>
  <c r="L1104" i="1" s="1"/>
  <c r="K1105" i="1"/>
  <c r="L1105" i="1" s="1"/>
  <c r="K1106" i="1"/>
  <c r="L1106" i="1" s="1"/>
  <c r="K1107" i="1"/>
  <c r="L1107" i="1" s="1"/>
  <c r="K1108" i="1"/>
  <c r="L1108" i="1" s="1"/>
  <c r="K1109" i="1"/>
  <c r="L1109" i="1" s="1"/>
  <c r="K1110" i="1"/>
  <c r="L1110" i="1" s="1"/>
  <c r="K1111" i="1"/>
  <c r="L1111" i="1" s="1"/>
  <c r="K1112" i="1"/>
  <c r="L1112" i="1" s="1"/>
  <c r="K1113" i="1"/>
  <c r="L1113" i="1" s="1"/>
  <c r="K1114" i="1"/>
  <c r="L1114" i="1" s="1"/>
  <c r="K1115" i="1"/>
  <c r="L1115" i="1" s="1"/>
  <c r="K1116" i="1"/>
  <c r="L1116" i="1" s="1"/>
  <c r="K1117" i="1"/>
  <c r="L1117" i="1" s="1"/>
  <c r="K1118" i="1"/>
  <c r="L1118" i="1" s="1"/>
  <c r="K1119" i="1"/>
  <c r="L1119" i="1" s="1"/>
  <c r="K1120" i="1"/>
  <c r="L1120" i="1" s="1"/>
  <c r="K1121" i="1"/>
  <c r="L1121" i="1" s="1"/>
  <c r="K1122" i="1"/>
  <c r="L1122" i="1" s="1"/>
  <c r="K1123" i="1"/>
  <c r="L1123" i="1" s="1"/>
  <c r="K1124" i="1"/>
  <c r="L1124" i="1" s="1"/>
  <c r="K1125" i="1"/>
  <c r="L1125" i="1" s="1"/>
  <c r="K1126" i="1"/>
  <c r="L1126" i="1" s="1"/>
  <c r="K1127" i="1"/>
  <c r="L1127" i="1" s="1"/>
  <c r="K1128" i="1"/>
  <c r="L1128" i="1" s="1"/>
  <c r="K1129" i="1"/>
  <c r="L1129" i="1" s="1"/>
  <c r="K1130" i="1"/>
  <c r="L1130" i="1" s="1"/>
  <c r="K1131" i="1"/>
  <c r="L1131" i="1" s="1"/>
  <c r="K1132" i="1"/>
  <c r="L1132" i="1" s="1"/>
  <c r="K1133" i="1"/>
  <c r="L1133" i="1" s="1"/>
  <c r="K1134" i="1"/>
  <c r="L1134" i="1" s="1"/>
  <c r="K1135" i="1"/>
  <c r="L1135" i="1" s="1"/>
  <c r="K1136" i="1"/>
  <c r="L1136" i="1" s="1"/>
  <c r="K1137" i="1"/>
  <c r="L1137" i="1" s="1"/>
  <c r="K1138" i="1"/>
  <c r="L1138" i="1" s="1"/>
  <c r="K1139" i="1"/>
  <c r="L1139" i="1" s="1"/>
  <c r="K1140" i="1"/>
  <c r="L1140" i="1" s="1"/>
  <c r="K1141" i="1"/>
  <c r="L1141" i="1" s="1"/>
  <c r="K1142" i="1"/>
  <c r="L1142" i="1" s="1"/>
  <c r="K1143" i="1"/>
  <c r="L1143" i="1" s="1"/>
  <c r="K1144" i="1"/>
  <c r="L1144" i="1" s="1"/>
  <c r="K1145" i="1"/>
  <c r="L1145" i="1" s="1"/>
  <c r="K1146" i="1"/>
  <c r="L1146" i="1" s="1"/>
  <c r="K1147" i="1"/>
  <c r="L1147" i="1" s="1"/>
  <c r="K1148" i="1"/>
  <c r="L1148" i="1" s="1"/>
  <c r="K1149" i="1"/>
  <c r="L1149" i="1" s="1"/>
  <c r="K1150" i="1"/>
  <c r="L1150" i="1" s="1"/>
  <c r="K1151" i="1"/>
  <c r="L1151" i="1" s="1"/>
  <c r="K1152" i="1"/>
  <c r="L1152" i="1" s="1"/>
  <c r="K1153" i="1"/>
  <c r="L1153" i="1" s="1"/>
  <c r="K1154" i="1"/>
  <c r="L1154" i="1" s="1"/>
  <c r="K1155" i="1"/>
  <c r="L1155" i="1" s="1"/>
  <c r="K1156" i="1"/>
  <c r="L1156" i="1" s="1"/>
  <c r="K1157" i="1"/>
  <c r="L1157" i="1" s="1"/>
  <c r="K1158" i="1"/>
  <c r="L1158" i="1" s="1"/>
  <c r="K1159" i="1"/>
  <c r="L1159" i="1" s="1"/>
  <c r="K1160" i="1"/>
  <c r="L1160" i="1" s="1"/>
  <c r="K1161" i="1"/>
  <c r="L1161" i="1" s="1"/>
  <c r="K1162" i="1"/>
  <c r="L1162" i="1" s="1"/>
  <c r="K1163" i="1"/>
  <c r="L1163" i="1" s="1"/>
  <c r="K1164" i="1"/>
  <c r="L1164" i="1" s="1"/>
  <c r="K1165" i="1"/>
  <c r="L1165" i="1" s="1"/>
  <c r="K1166" i="1"/>
  <c r="L1166" i="1" s="1"/>
  <c r="K1167" i="1"/>
  <c r="L1167" i="1" s="1"/>
  <c r="K1168" i="1"/>
  <c r="L1168" i="1" s="1"/>
  <c r="K1169" i="1"/>
  <c r="L1169" i="1" s="1"/>
  <c r="K1170" i="1"/>
  <c r="L1170" i="1" s="1"/>
  <c r="K1171" i="1"/>
  <c r="L1171" i="1" s="1"/>
  <c r="K1172" i="1"/>
  <c r="L1172" i="1" s="1"/>
  <c r="K1173" i="1"/>
  <c r="L1173" i="1" s="1"/>
  <c r="K1174" i="1"/>
  <c r="L1174" i="1" s="1"/>
  <c r="K1175" i="1"/>
  <c r="L1175" i="1" s="1"/>
  <c r="K1176" i="1"/>
  <c r="L1176" i="1" s="1"/>
  <c r="K1177" i="1"/>
  <c r="L1177" i="1" s="1"/>
  <c r="K1178" i="1"/>
  <c r="L1178" i="1" s="1"/>
  <c r="K1179" i="1"/>
  <c r="L1179" i="1" s="1"/>
  <c r="K1180" i="1"/>
  <c r="L1180" i="1" s="1"/>
  <c r="K1181" i="1"/>
  <c r="L1181" i="1" s="1"/>
  <c r="K1182" i="1"/>
  <c r="L1182" i="1" s="1"/>
  <c r="K1183" i="1"/>
  <c r="L1183" i="1" s="1"/>
  <c r="K1184" i="1"/>
  <c r="L1184" i="1" s="1"/>
  <c r="K1185" i="1"/>
  <c r="L1185" i="1" s="1"/>
  <c r="K1186" i="1"/>
  <c r="L1186" i="1" s="1"/>
  <c r="K1187" i="1"/>
  <c r="L1187" i="1" s="1"/>
  <c r="K1188" i="1"/>
  <c r="L1188" i="1" s="1"/>
  <c r="K1189" i="1"/>
  <c r="L1189" i="1" s="1"/>
  <c r="K1190" i="1"/>
  <c r="L1190" i="1" s="1"/>
  <c r="K1191" i="1"/>
  <c r="L1191" i="1" s="1"/>
  <c r="K1192" i="1"/>
  <c r="L1192" i="1" s="1"/>
  <c r="K1193" i="1"/>
  <c r="L1193" i="1" s="1"/>
  <c r="K1194" i="1"/>
  <c r="L1194" i="1" s="1"/>
  <c r="K1195" i="1"/>
  <c r="L1195" i="1" s="1"/>
  <c r="K1196" i="1"/>
  <c r="L1196" i="1" s="1"/>
  <c r="K1197" i="1"/>
  <c r="L1197" i="1" s="1"/>
  <c r="K1198" i="1"/>
  <c r="L1198" i="1" s="1"/>
  <c r="K1199" i="1"/>
  <c r="L1199" i="1" s="1"/>
  <c r="K1200" i="1"/>
  <c r="L1200" i="1" s="1"/>
  <c r="K1201" i="1"/>
  <c r="L1201" i="1" s="1"/>
  <c r="K1202" i="1"/>
  <c r="L1202" i="1" s="1"/>
  <c r="K1203" i="1"/>
  <c r="L1203" i="1" s="1"/>
  <c r="K1204" i="1"/>
  <c r="L1204" i="1" s="1"/>
  <c r="K1205" i="1"/>
  <c r="L1205" i="1" s="1"/>
  <c r="K1206" i="1"/>
  <c r="L1206" i="1" s="1"/>
  <c r="K1207" i="1"/>
  <c r="L1207" i="1" s="1"/>
  <c r="K1208" i="1"/>
  <c r="L1208" i="1" s="1"/>
  <c r="K1209" i="1"/>
  <c r="L1209" i="1" s="1"/>
  <c r="K1210" i="1"/>
  <c r="L1210" i="1" s="1"/>
  <c r="K1211" i="1"/>
  <c r="L1211" i="1" s="1"/>
  <c r="K1212" i="1"/>
  <c r="L1212" i="1" s="1"/>
  <c r="K1213" i="1"/>
  <c r="L1213" i="1" s="1"/>
  <c r="K1214" i="1"/>
  <c r="L1214" i="1" s="1"/>
  <c r="K1215" i="1"/>
  <c r="L1215" i="1" s="1"/>
  <c r="K1216" i="1"/>
  <c r="L1216" i="1" s="1"/>
  <c r="K1217" i="1"/>
  <c r="L1217" i="1" s="1"/>
  <c r="K1218" i="1"/>
  <c r="L1218" i="1" s="1"/>
  <c r="K1219" i="1"/>
  <c r="L1219" i="1" s="1"/>
  <c r="K1220" i="1"/>
  <c r="L1220" i="1" s="1"/>
  <c r="K1221" i="1"/>
  <c r="L1221" i="1" s="1"/>
  <c r="K1222" i="1"/>
  <c r="L1222" i="1" s="1"/>
  <c r="K1223" i="1"/>
  <c r="L1223" i="1" s="1"/>
  <c r="K1224" i="1"/>
  <c r="L1224" i="1" s="1"/>
  <c r="K1225" i="1"/>
  <c r="L1225" i="1" s="1"/>
  <c r="K1226" i="1"/>
  <c r="L1226" i="1" s="1"/>
  <c r="K1227" i="1"/>
  <c r="L1227" i="1" s="1"/>
  <c r="K1228" i="1"/>
  <c r="L1228" i="1" s="1"/>
  <c r="K1229" i="1"/>
  <c r="L1229" i="1" s="1"/>
  <c r="K1230" i="1"/>
  <c r="L1230" i="1" s="1"/>
  <c r="K1231" i="1"/>
  <c r="L1231" i="1" s="1"/>
  <c r="K1232" i="1"/>
  <c r="L1232" i="1" s="1"/>
  <c r="K1233" i="1"/>
  <c r="L1233" i="1" s="1"/>
  <c r="K1234" i="1"/>
  <c r="L1234" i="1" s="1"/>
  <c r="K1235" i="1"/>
  <c r="L1235" i="1" s="1"/>
  <c r="K1236" i="1"/>
  <c r="L1236" i="1" s="1"/>
  <c r="K1237" i="1"/>
  <c r="L1237" i="1" s="1"/>
  <c r="K1238" i="1"/>
  <c r="L1238" i="1" s="1"/>
  <c r="K1239" i="1"/>
  <c r="L1239" i="1" s="1"/>
  <c r="K1240" i="1"/>
  <c r="L1240" i="1" s="1"/>
  <c r="K1241" i="1"/>
  <c r="L1241" i="1" s="1"/>
  <c r="K1242" i="1"/>
  <c r="L1242" i="1" s="1"/>
  <c r="K1243" i="1"/>
  <c r="L1243" i="1" s="1"/>
  <c r="K1244" i="1"/>
  <c r="L1244" i="1" s="1"/>
  <c r="K1245" i="1"/>
  <c r="L1245" i="1" s="1"/>
  <c r="K1246" i="1"/>
  <c r="L1246" i="1" s="1"/>
  <c r="K1247" i="1"/>
  <c r="L1247" i="1" s="1"/>
  <c r="K1248" i="1"/>
  <c r="L1248" i="1" s="1"/>
  <c r="K1249" i="1"/>
  <c r="L1249" i="1" s="1"/>
  <c r="K1250" i="1"/>
  <c r="L1250" i="1" s="1"/>
  <c r="K1251" i="1"/>
  <c r="L1251" i="1" s="1"/>
  <c r="K1252" i="1"/>
  <c r="L1252" i="1" s="1"/>
  <c r="K1253" i="1"/>
  <c r="L1253" i="1" s="1"/>
  <c r="K1254" i="1"/>
  <c r="L1254" i="1" s="1"/>
  <c r="K1255" i="1"/>
  <c r="L1255" i="1" s="1"/>
  <c r="K1256" i="1"/>
  <c r="L1256" i="1" s="1"/>
  <c r="K1257" i="1"/>
  <c r="L1257" i="1" s="1"/>
  <c r="K1258" i="1"/>
  <c r="L1258" i="1" s="1"/>
  <c r="K1259" i="1"/>
  <c r="L1259" i="1" s="1"/>
  <c r="K1260" i="1"/>
  <c r="L1260" i="1" s="1"/>
  <c r="K1261" i="1"/>
  <c r="L1261" i="1" s="1"/>
  <c r="K1262" i="1"/>
  <c r="L1262" i="1" s="1"/>
  <c r="K1263" i="1"/>
  <c r="L1263" i="1" s="1"/>
  <c r="K1264" i="1"/>
  <c r="L1264" i="1" s="1"/>
  <c r="K1265" i="1"/>
  <c r="L1265" i="1" s="1"/>
  <c r="K1266" i="1"/>
  <c r="L1266" i="1" s="1"/>
  <c r="K1267" i="1"/>
  <c r="L1267" i="1" s="1"/>
  <c r="K1268" i="1"/>
  <c r="L1268" i="1" s="1"/>
  <c r="K1269" i="1"/>
  <c r="L1269" i="1" s="1"/>
  <c r="K1270" i="1"/>
  <c r="L1270" i="1" s="1"/>
  <c r="K1271" i="1"/>
  <c r="L1271" i="1" s="1"/>
  <c r="K1272" i="1"/>
  <c r="L1272" i="1" s="1"/>
  <c r="K1273" i="1"/>
  <c r="L1273" i="1" s="1"/>
  <c r="K1274" i="1"/>
  <c r="L1274" i="1" s="1"/>
  <c r="K1275" i="1"/>
  <c r="L1275" i="1" s="1"/>
  <c r="K1276" i="1"/>
  <c r="L1276" i="1" s="1"/>
  <c r="K1277" i="1"/>
  <c r="L1277" i="1" s="1"/>
  <c r="K1278" i="1"/>
  <c r="L1278" i="1" s="1"/>
  <c r="K1279" i="1"/>
  <c r="L1279" i="1" s="1"/>
  <c r="K1280" i="1"/>
  <c r="L1280" i="1" s="1"/>
  <c r="K1281" i="1"/>
  <c r="L1281" i="1" s="1"/>
  <c r="K1282" i="1"/>
  <c r="L1282" i="1" s="1"/>
  <c r="K1283" i="1"/>
  <c r="L1283" i="1" s="1"/>
  <c r="K1284" i="1"/>
  <c r="L1284" i="1" s="1"/>
  <c r="K1285" i="1"/>
  <c r="L1285" i="1" s="1"/>
  <c r="K1286" i="1"/>
  <c r="L1286" i="1" s="1"/>
  <c r="K1287" i="1"/>
  <c r="L1287" i="1" s="1"/>
  <c r="K1288" i="1"/>
  <c r="L1288" i="1" s="1"/>
  <c r="K1289" i="1"/>
  <c r="L1289" i="1" s="1"/>
  <c r="K1290" i="1"/>
  <c r="L1290" i="1" s="1"/>
  <c r="K1291" i="1"/>
  <c r="L1291" i="1" s="1"/>
  <c r="K1292" i="1"/>
  <c r="L1292" i="1" s="1"/>
  <c r="K1293" i="1"/>
  <c r="L1293" i="1" s="1"/>
  <c r="K1294" i="1"/>
  <c r="L1294" i="1" s="1"/>
  <c r="K1295" i="1"/>
  <c r="L1295" i="1" s="1"/>
  <c r="K1296" i="1"/>
  <c r="L1296" i="1" s="1"/>
  <c r="K1297" i="1"/>
  <c r="L1297" i="1" s="1"/>
  <c r="K1298" i="1"/>
  <c r="L1298" i="1" s="1"/>
  <c r="K1299" i="1"/>
  <c r="L1299" i="1" s="1"/>
  <c r="K1300" i="1"/>
  <c r="L1300" i="1" s="1"/>
  <c r="K1301" i="1"/>
  <c r="L1301" i="1" s="1"/>
  <c r="K1302" i="1"/>
  <c r="L1302" i="1" s="1"/>
  <c r="K1303" i="1"/>
  <c r="L1303" i="1" s="1"/>
  <c r="K1304" i="1"/>
  <c r="L1304" i="1" s="1"/>
  <c r="K1305" i="1"/>
  <c r="L1305" i="1" s="1"/>
  <c r="K1306" i="1"/>
  <c r="L1306" i="1" s="1"/>
  <c r="K1307" i="1"/>
  <c r="L1307" i="1" s="1"/>
  <c r="K1308" i="1"/>
  <c r="L1308" i="1" s="1"/>
  <c r="K1309" i="1"/>
  <c r="L1309" i="1" s="1"/>
  <c r="K1310" i="1"/>
  <c r="L1310" i="1" s="1"/>
  <c r="K1311" i="1"/>
  <c r="L1311" i="1" s="1"/>
  <c r="K1312" i="1"/>
  <c r="L1312" i="1" s="1"/>
  <c r="K1313" i="1"/>
  <c r="L1313" i="1" s="1"/>
  <c r="K1314" i="1"/>
  <c r="L1314" i="1" s="1"/>
  <c r="K1315" i="1"/>
  <c r="L1315" i="1" s="1"/>
  <c r="K1316" i="1"/>
  <c r="L1316" i="1" s="1"/>
  <c r="K1317" i="1"/>
  <c r="L1317" i="1" s="1"/>
  <c r="K1318" i="1"/>
  <c r="L1318" i="1" s="1"/>
  <c r="K1319" i="1"/>
  <c r="L1319" i="1" s="1"/>
  <c r="K1320" i="1"/>
  <c r="L1320" i="1" s="1"/>
  <c r="K1321" i="1"/>
  <c r="L1321" i="1" s="1"/>
  <c r="K1322" i="1"/>
  <c r="L1322" i="1" s="1"/>
  <c r="K1323" i="1"/>
  <c r="L1323" i="1" s="1"/>
  <c r="K1324" i="1"/>
  <c r="L1324" i="1" s="1"/>
  <c r="K1325" i="1"/>
  <c r="L1325" i="1" s="1"/>
  <c r="K1326" i="1"/>
  <c r="L1326" i="1" s="1"/>
  <c r="K1327" i="1"/>
  <c r="L1327" i="1" s="1"/>
  <c r="K1328" i="1"/>
  <c r="L1328" i="1" s="1"/>
  <c r="K1329" i="1"/>
  <c r="L1329" i="1" s="1"/>
  <c r="K1330" i="1"/>
  <c r="L1330" i="1" s="1"/>
  <c r="K1331" i="1"/>
  <c r="L1331" i="1" s="1"/>
  <c r="K1332" i="1"/>
  <c r="L1332" i="1" s="1"/>
  <c r="K1333" i="1"/>
  <c r="L1333" i="1" s="1"/>
  <c r="K1334" i="1"/>
  <c r="L1334" i="1" s="1"/>
  <c r="K1335" i="1"/>
  <c r="L1335" i="1" s="1"/>
  <c r="K1336" i="1"/>
  <c r="L1336" i="1" s="1"/>
  <c r="K1337" i="1"/>
  <c r="L1337" i="1" s="1"/>
  <c r="K1338" i="1"/>
  <c r="L1338" i="1" s="1"/>
  <c r="K1339" i="1"/>
  <c r="L1339" i="1" s="1"/>
  <c r="K1340" i="1"/>
  <c r="L1340" i="1" s="1"/>
  <c r="K1341" i="1"/>
  <c r="L1341" i="1" s="1"/>
  <c r="K1342" i="1"/>
  <c r="L1342" i="1" s="1"/>
  <c r="K1343" i="1"/>
  <c r="L1343" i="1" s="1"/>
  <c r="K1344" i="1"/>
  <c r="L1344" i="1" s="1"/>
  <c r="K1345" i="1"/>
  <c r="L1345" i="1" s="1"/>
  <c r="K1346" i="1"/>
  <c r="L1346" i="1" s="1"/>
  <c r="K1347" i="1"/>
  <c r="L1347" i="1" s="1"/>
  <c r="K1348" i="1"/>
  <c r="L1348" i="1" s="1"/>
  <c r="K1349" i="1"/>
  <c r="L1349" i="1" s="1"/>
  <c r="K1350" i="1"/>
  <c r="L1350" i="1" s="1"/>
  <c r="K1351" i="1"/>
  <c r="L1351" i="1" s="1"/>
  <c r="K1352" i="1"/>
  <c r="L1352" i="1" s="1"/>
  <c r="K1353" i="1"/>
  <c r="L1353" i="1" s="1"/>
  <c r="K1354" i="1"/>
  <c r="L1354" i="1" s="1"/>
  <c r="K1355" i="1"/>
  <c r="L1355" i="1" s="1"/>
  <c r="K1356" i="1"/>
  <c r="L1356" i="1" s="1"/>
  <c r="K1357" i="1"/>
  <c r="L1357" i="1" s="1"/>
  <c r="K1358" i="1"/>
  <c r="L1358" i="1" s="1"/>
  <c r="K1359" i="1"/>
  <c r="L1359" i="1" s="1"/>
  <c r="K1360" i="1"/>
  <c r="L1360" i="1" s="1"/>
  <c r="K1361" i="1"/>
  <c r="L1361" i="1" s="1"/>
  <c r="K1362" i="1"/>
  <c r="L1362" i="1" s="1"/>
  <c r="K1363" i="1"/>
  <c r="L1363" i="1" s="1"/>
  <c r="K1364" i="1"/>
  <c r="L1364" i="1" s="1"/>
  <c r="K1365" i="1"/>
  <c r="L1365" i="1" s="1"/>
  <c r="K1366" i="1"/>
  <c r="L1366" i="1" s="1"/>
  <c r="K1367" i="1"/>
  <c r="L1367" i="1" s="1"/>
  <c r="K1368" i="1"/>
  <c r="L1368" i="1" s="1"/>
  <c r="K1369" i="1"/>
  <c r="L1369" i="1" s="1"/>
  <c r="K1370" i="1"/>
  <c r="L1370" i="1" s="1"/>
  <c r="K1371" i="1"/>
  <c r="L1371" i="1" s="1"/>
  <c r="K1372" i="1"/>
  <c r="L1372" i="1" s="1"/>
  <c r="K1373" i="1"/>
  <c r="L1373" i="1" s="1"/>
  <c r="K1374" i="1"/>
  <c r="L1374" i="1" s="1"/>
  <c r="K1375" i="1"/>
  <c r="L1375" i="1" s="1"/>
  <c r="K1376" i="1"/>
  <c r="L1376" i="1" s="1"/>
  <c r="K1377" i="1"/>
  <c r="L1377" i="1" s="1"/>
  <c r="K1378" i="1"/>
  <c r="L1378" i="1" s="1"/>
  <c r="K1379" i="1"/>
  <c r="L1379" i="1" s="1"/>
  <c r="K1380" i="1"/>
  <c r="L1380" i="1" s="1"/>
  <c r="K1381" i="1"/>
  <c r="L1381" i="1" s="1"/>
  <c r="K1382" i="1"/>
  <c r="L1382" i="1" s="1"/>
  <c r="K1383" i="1"/>
  <c r="L1383" i="1" s="1"/>
  <c r="K1384" i="1"/>
  <c r="L1384" i="1" s="1"/>
  <c r="K1385" i="1"/>
  <c r="L1385" i="1" s="1"/>
  <c r="K1386" i="1"/>
  <c r="L1386" i="1" s="1"/>
  <c r="K1387" i="1"/>
  <c r="L1387" i="1" s="1"/>
  <c r="K1388" i="1"/>
  <c r="L1388" i="1" s="1"/>
  <c r="K1389" i="1"/>
  <c r="L1389" i="1" s="1"/>
  <c r="K1390" i="1"/>
  <c r="L1390" i="1" s="1"/>
  <c r="K1391" i="1"/>
  <c r="L1391" i="1" s="1"/>
  <c r="K1392" i="1"/>
  <c r="L1392" i="1" s="1"/>
  <c r="K1393" i="1"/>
  <c r="L1393" i="1" s="1"/>
  <c r="K1394" i="1"/>
  <c r="L1394" i="1" s="1"/>
  <c r="K1395" i="1"/>
  <c r="L1395" i="1" s="1"/>
  <c r="K1396" i="1"/>
  <c r="L1396" i="1" s="1"/>
  <c r="K1397" i="1"/>
  <c r="L1397" i="1" s="1"/>
  <c r="K1398" i="1"/>
  <c r="L1398" i="1" s="1"/>
  <c r="K1399" i="1"/>
  <c r="L1399" i="1" s="1"/>
  <c r="K1400" i="1"/>
  <c r="L1400" i="1" s="1"/>
  <c r="K1401" i="1"/>
  <c r="L1401" i="1" s="1"/>
  <c r="K1402" i="1"/>
  <c r="L1402" i="1" s="1"/>
  <c r="K1403" i="1"/>
  <c r="L1403" i="1" s="1"/>
  <c r="K1404" i="1"/>
  <c r="L1404" i="1" s="1"/>
  <c r="K1405" i="1"/>
  <c r="L1405" i="1" s="1"/>
  <c r="K1406" i="1"/>
  <c r="L1406" i="1" s="1"/>
  <c r="K1407" i="1"/>
  <c r="L1407" i="1" s="1"/>
  <c r="K1408" i="1"/>
  <c r="L1408" i="1" s="1"/>
  <c r="K1409" i="1"/>
  <c r="L1409" i="1" s="1"/>
  <c r="K1410" i="1"/>
  <c r="L1410" i="1" s="1"/>
  <c r="K1411" i="1"/>
  <c r="L1411" i="1" s="1"/>
  <c r="K1412" i="1"/>
  <c r="L1412" i="1" s="1"/>
  <c r="K1413" i="1"/>
  <c r="L1413" i="1" s="1"/>
  <c r="K1414" i="1"/>
  <c r="L1414" i="1" s="1"/>
  <c r="K1415" i="1"/>
  <c r="L1415" i="1" s="1"/>
  <c r="K1416" i="1"/>
  <c r="L1416" i="1" s="1"/>
  <c r="K1417" i="1"/>
  <c r="L1417" i="1" s="1"/>
  <c r="K1418" i="1"/>
  <c r="L1418" i="1" s="1"/>
  <c r="K1419" i="1"/>
  <c r="L1419" i="1" s="1"/>
  <c r="K1420" i="1"/>
  <c r="L1420" i="1" s="1"/>
  <c r="K1421" i="1"/>
  <c r="L1421" i="1" s="1"/>
  <c r="K1422" i="1"/>
  <c r="L1422" i="1" s="1"/>
  <c r="K1423" i="1"/>
  <c r="L1423" i="1" s="1"/>
  <c r="K1424" i="1"/>
  <c r="L1424" i="1" s="1"/>
  <c r="K1425" i="1"/>
  <c r="L1425" i="1" s="1"/>
  <c r="K1426" i="1"/>
  <c r="L1426" i="1" s="1"/>
  <c r="K1427" i="1"/>
  <c r="L1427" i="1" s="1"/>
  <c r="K1428" i="1"/>
  <c r="L1428" i="1" s="1"/>
  <c r="K1429" i="1"/>
  <c r="L1429" i="1" s="1"/>
  <c r="K1430" i="1"/>
  <c r="L1430" i="1" s="1"/>
  <c r="K1431" i="1"/>
  <c r="L1431" i="1" s="1"/>
  <c r="K1432" i="1"/>
  <c r="L1432" i="1" s="1"/>
  <c r="K1433" i="1"/>
  <c r="L1433" i="1" s="1"/>
  <c r="K1434" i="1"/>
  <c r="L1434" i="1" s="1"/>
  <c r="K1435" i="1"/>
  <c r="L1435" i="1" s="1"/>
  <c r="K1436" i="1"/>
  <c r="L1436" i="1" s="1"/>
  <c r="K1437" i="1"/>
  <c r="L1437" i="1" s="1"/>
  <c r="K1438" i="1"/>
  <c r="L1438" i="1" s="1"/>
  <c r="K1439" i="1"/>
  <c r="L1439" i="1" s="1"/>
  <c r="K1440" i="1"/>
  <c r="L1440" i="1" s="1"/>
  <c r="K1441" i="1"/>
  <c r="L1441" i="1" s="1"/>
  <c r="K1442" i="1"/>
  <c r="L1442" i="1" s="1"/>
  <c r="K1443" i="1"/>
  <c r="L1443" i="1" s="1"/>
  <c r="K1444" i="1"/>
  <c r="L1444" i="1" s="1"/>
  <c r="K1445" i="1"/>
  <c r="L1445" i="1" s="1"/>
  <c r="K1446" i="1"/>
  <c r="L1446" i="1" s="1"/>
  <c r="K1447" i="1"/>
  <c r="L1447" i="1" s="1"/>
  <c r="K1448" i="1"/>
  <c r="L1448" i="1" s="1"/>
  <c r="K1449" i="1"/>
  <c r="L1449" i="1" s="1"/>
  <c r="K1450" i="1"/>
  <c r="L1450" i="1" s="1"/>
  <c r="K1451" i="1"/>
  <c r="L1451" i="1" s="1"/>
  <c r="K1452" i="1"/>
  <c r="L1452" i="1" s="1"/>
  <c r="K1453" i="1"/>
  <c r="L1453" i="1" s="1"/>
  <c r="K1454" i="1"/>
  <c r="L1454" i="1" s="1"/>
  <c r="K1455" i="1"/>
  <c r="L1455" i="1" s="1"/>
  <c r="K1456" i="1"/>
  <c r="L1456" i="1" s="1"/>
  <c r="K1457" i="1"/>
  <c r="L1457" i="1" s="1"/>
  <c r="K1458" i="1"/>
  <c r="L1458" i="1" s="1"/>
  <c r="K1459" i="1"/>
  <c r="L1459" i="1" s="1"/>
  <c r="K1460" i="1"/>
  <c r="L1460" i="1" s="1"/>
  <c r="K1461" i="1"/>
  <c r="L1461" i="1" s="1"/>
  <c r="K1462" i="1"/>
  <c r="L1462" i="1" s="1"/>
  <c r="K1463" i="1"/>
  <c r="L1463" i="1" s="1"/>
  <c r="K1464" i="1"/>
  <c r="L1464" i="1" s="1"/>
  <c r="K1465" i="1"/>
  <c r="L1465" i="1" s="1"/>
  <c r="K1466" i="1"/>
  <c r="L1466" i="1" s="1"/>
  <c r="K1467" i="1"/>
  <c r="L1467" i="1" s="1"/>
  <c r="K1468" i="1"/>
  <c r="L1468" i="1" s="1"/>
  <c r="K1469" i="1"/>
  <c r="L1469" i="1" s="1"/>
  <c r="K1470" i="1"/>
  <c r="L1470" i="1" s="1"/>
  <c r="K1471" i="1"/>
  <c r="L1471" i="1" s="1"/>
  <c r="K1472" i="1"/>
  <c r="L1472" i="1" s="1"/>
  <c r="K1473" i="1"/>
  <c r="L1473" i="1" s="1"/>
  <c r="K1474" i="1"/>
  <c r="L1474" i="1" s="1"/>
  <c r="K1475" i="1"/>
  <c r="L1475" i="1" s="1"/>
  <c r="K1476" i="1"/>
  <c r="L1476" i="1" s="1"/>
  <c r="K1477" i="1"/>
  <c r="L1477" i="1" s="1"/>
  <c r="K1478" i="1"/>
  <c r="L1478" i="1" s="1"/>
  <c r="K1479" i="1"/>
  <c r="L1479" i="1" s="1"/>
  <c r="K1480" i="1"/>
  <c r="L1480" i="1" s="1"/>
  <c r="K1481" i="1"/>
  <c r="L1481" i="1" s="1"/>
  <c r="K1482" i="1"/>
  <c r="L1482" i="1" s="1"/>
  <c r="K1483" i="1"/>
  <c r="L1483" i="1" s="1"/>
  <c r="K1484" i="1"/>
  <c r="L1484" i="1" s="1"/>
  <c r="K1485" i="1"/>
  <c r="L1485" i="1" s="1"/>
  <c r="K1486" i="1"/>
  <c r="L1486" i="1" s="1"/>
  <c r="K1487" i="1"/>
  <c r="L1487" i="1" s="1"/>
  <c r="K1488" i="1"/>
  <c r="L1488" i="1" s="1"/>
  <c r="K1489" i="1"/>
  <c r="L1489" i="1" s="1"/>
  <c r="K1490" i="1"/>
  <c r="L1490" i="1" s="1"/>
  <c r="K1491" i="1"/>
  <c r="L1491" i="1" s="1"/>
  <c r="K1492" i="1"/>
  <c r="L1492" i="1" s="1"/>
  <c r="K1493" i="1"/>
  <c r="L1493" i="1" s="1"/>
  <c r="K1494" i="1"/>
  <c r="L1494" i="1" s="1"/>
  <c r="K1495" i="1"/>
  <c r="L1495" i="1" s="1"/>
  <c r="K1496" i="1"/>
  <c r="L1496" i="1" s="1"/>
  <c r="K1497" i="1"/>
  <c r="L1497" i="1" s="1"/>
  <c r="K1498" i="1"/>
  <c r="L1498" i="1" s="1"/>
  <c r="K1499" i="1"/>
  <c r="L1499" i="1" s="1"/>
  <c r="K1500" i="1"/>
  <c r="L1500" i="1" s="1"/>
  <c r="K1501" i="1"/>
  <c r="L1501" i="1" s="1"/>
  <c r="K1502" i="1"/>
  <c r="L1502" i="1" s="1"/>
  <c r="K1503" i="1"/>
  <c r="L1503" i="1" s="1"/>
  <c r="K1504" i="1"/>
  <c r="L1504" i="1" s="1"/>
  <c r="K1505" i="1"/>
  <c r="L1505" i="1" s="1"/>
  <c r="K1506" i="1"/>
  <c r="L1506" i="1" s="1"/>
  <c r="K1507" i="1"/>
  <c r="L1507" i="1" s="1"/>
  <c r="K1508" i="1"/>
  <c r="L1508" i="1" s="1"/>
  <c r="K1509" i="1"/>
  <c r="L1509" i="1" s="1"/>
  <c r="K1510" i="1"/>
  <c r="L1510" i="1" s="1"/>
  <c r="K1511" i="1"/>
  <c r="L1511" i="1" s="1"/>
  <c r="K1512" i="1"/>
  <c r="L1512" i="1" s="1"/>
  <c r="K1513" i="1"/>
  <c r="L1513" i="1" s="1"/>
  <c r="K1514" i="1"/>
  <c r="L1514" i="1" s="1"/>
  <c r="K1515" i="1"/>
  <c r="L1515" i="1" s="1"/>
  <c r="K1516" i="1"/>
  <c r="L1516" i="1" s="1"/>
  <c r="K1517" i="1"/>
  <c r="L1517" i="1" s="1"/>
  <c r="K1518" i="1"/>
  <c r="L1518" i="1" s="1"/>
  <c r="K1519" i="1"/>
  <c r="L1519" i="1" s="1"/>
  <c r="K1520" i="1"/>
  <c r="L1520" i="1" s="1"/>
  <c r="K1521" i="1"/>
  <c r="L1521" i="1" s="1"/>
  <c r="K1522" i="1"/>
  <c r="L1522" i="1" s="1"/>
  <c r="K1523" i="1"/>
  <c r="L1523" i="1" s="1"/>
  <c r="K1524" i="1"/>
  <c r="L1524" i="1" s="1"/>
  <c r="K1525" i="1"/>
  <c r="L1525" i="1" s="1"/>
  <c r="K1526" i="1"/>
  <c r="L1526" i="1" s="1"/>
  <c r="K1527" i="1"/>
  <c r="L1527" i="1" s="1"/>
  <c r="K1528" i="1"/>
  <c r="L1528" i="1" s="1"/>
  <c r="K1529" i="1"/>
  <c r="L1529" i="1" s="1"/>
  <c r="K1530" i="1"/>
  <c r="L1530" i="1" s="1"/>
  <c r="K1531" i="1"/>
  <c r="L1531" i="1" s="1"/>
  <c r="K1532" i="1"/>
  <c r="L1532" i="1" s="1"/>
  <c r="K1533" i="1"/>
  <c r="L1533" i="1" s="1"/>
  <c r="K1534" i="1"/>
  <c r="L1534" i="1" s="1"/>
  <c r="K1535" i="1"/>
  <c r="L1535" i="1" s="1"/>
  <c r="K1536" i="1"/>
  <c r="L1536" i="1" s="1"/>
  <c r="K1537" i="1"/>
  <c r="L1537" i="1" s="1"/>
  <c r="K1538" i="1"/>
  <c r="L1538" i="1" s="1"/>
  <c r="K1539" i="1"/>
  <c r="L1539" i="1" s="1"/>
  <c r="K1540" i="1"/>
  <c r="L1540" i="1" s="1"/>
  <c r="K1541" i="1"/>
  <c r="L1541" i="1" s="1"/>
  <c r="K1542" i="1"/>
  <c r="L1542" i="1" s="1"/>
  <c r="K1543" i="1"/>
  <c r="L1543" i="1" s="1"/>
  <c r="K1544" i="1"/>
  <c r="L1544" i="1" s="1"/>
  <c r="K1545" i="1"/>
  <c r="L1545" i="1" s="1"/>
  <c r="K1546" i="1"/>
  <c r="L1546" i="1" s="1"/>
  <c r="K1547" i="1"/>
  <c r="L1547" i="1" s="1"/>
  <c r="K1548" i="1"/>
  <c r="L1548" i="1" s="1"/>
  <c r="K1549" i="1"/>
  <c r="L1549" i="1" s="1"/>
  <c r="K1550" i="1"/>
  <c r="L1550" i="1" s="1"/>
  <c r="K1551" i="1"/>
  <c r="L1551" i="1" s="1"/>
  <c r="K1552" i="1"/>
  <c r="L1552" i="1" s="1"/>
  <c r="K1553" i="1"/>
  <c r="L1553" i="1" s="1"/>
  <c r="K1554" i="1"/>
  <c r="L1554" i="1" s="1"/>
  <c r="K1555" i="1"/>
  <c r="L1555" i="1" s="1"/>
  <c r="K1556" i="1"/>
  <c r="L1556" i="1" s="1"/>
  <c r="K1557" i="1"/>
  <c r="L1557" i="1" s="1"/>
  <c r="K1558" i="1"/>
  <c r="L1558" i="1" s="1"/>
  <c r="K1559" i="1"/>
  <c r="L1559" i="1" s="1"/>
  <c r="K1560" i="1"/>
  <c r="L1560" i="1" s="1"/>
  <c r="K1561" i="1"/>
  <c r="L1561" i="1" s="1"/>
  <c r="K1562" i="1"/>
  <c r="L1562" i="1" s="1"/>
  <c r="K1563" i="1"/>
  <c r="L1563" i="1" s="1"/>
  <c r="K1564" i="1"/>
  <c r="L1564" i="1" s="1"/>
  <c r="K1565" i="1"/>
  <c r="L1565" i="1" s="1"/>
  <c r="K1566" i="1"/>
  <c r="L1566" i="1" s="1"/>
  <c r="K1567" i="1"/>
  <c r="L1567" i="1" s="1"/>
  <c r="K1568" i="1"/>
  <c r="L1568" i="1" s="1"/>
  <c r="K1569" i="1"/>
  <c r="L1569" i="1" s="1"/>
  <c r="K1570" i="1"/>
  <c r="L1570" i="1" s="1"/>
  <c r="K1571" i="1"/>
  <c r="L1571" i="1" s="1"/>
  <c r="K1572" i="1"/>
  <c r="L1572" i="1" s="1"/>
  <c r="K1573" i="1"/>
  <c r="L1573" i="1" s="1"/>
  <c r="K1574" i="1"/>
  <c r="L1574" i="1" s="1"/>
  <c r="K1575" i="1"/>
  <c r="L1575" i="1" s="1"/>
  <c r="K1576" i="1"/>
  <c r="L1576" i="1" s="1"/>
  <c r="K1577" i="1"/>
  <c r="L1577" i="1" s="1"/>
  <c r="K1578" i="1"/>
  <c r="L1578" i="1" s="1"/>
  <c r="K1579" i="1"/>
  <c r="L1579" i="1" s="1"/>
  <c r="K1580" i="1"/>
  <c r="L1580" i="1" s="1"/>
  <c r="K1581" i="1"/>
  <c r="L1581" i="1" s="1"/>
  <c r="K1582" i="1"/>
  <c r="L1582" i="1" s="1"/>
  <c r="K1583" i="1"/>
  <c r="L1583" i="1" s="1"/>
  <c r="K1584" i="1"/>
  <c r="L1584" i="1" s="1"/>
  <c r="K1585" i="1"/>
  <c r="L1585" i="1" s="1"/>
  <c r="K1586" i="1"/>
  <c r="L1586" i="1" s="1"/>
  <c r="K1587" i="1"/>
  <c r="L1587" i="1" s="1"/>
  <c r="K1588" i="1"/>
  <c r="L1588" i="1" s="1"/>
  <c r="K1589" i="1"/>
  <c r="L1589" i="1" s="1"/>
  <c r="K1590" i="1"/>
  <c r="L1590" i="1" s="1"/>
  <c r="K1591" i="1"/>
  <c r="L1591" i="1" s="1"/>
  <c r="K1592" i="1"/>
  <c r="L1592" i="1" s="1"/>
  <c r="K1593" i="1"/>
  <c r="L1593" i="1" s="1"/>
  <c r="K1594" i="1"/>
  <c r="L1594" i="1" s="1"/>
  <c r="K1595" i="1"/>
  <c r="L1595" i="1" s="1"/>
  <c r="K1596" i="1"/>
  <c r="L1596" i="1" s="1"/>
  <c r="K1597" i="1"/>
  <c r="L1597" i="1" s="1"/>
  <c r="K1598" i="1"/>
  <c r="L1598" i="1" s="1"/>
  <c r="K1599" i="1"/>
  <c r="L1599" i="1" s="1"/>
  <c r="K1600" i="1"/>
  <c r="L1600" i="1" s="1"/>
  <c r="K1601" i="1"/>
  <c r="L1601" i="1" s="1"/>
  <c r="K1602" i="1"/>
  <c r="L1602" i="1" s="1"/>
  <c r="K1603" i="1"/>
  <c r="L1603" i="1" s="1"/>
  <c r="K1604" i="1"/>
  <c r="L1604" i="1" s="1"/>
  <c r="K1605" i="1"/>
  <c r="L1605" i="1" s="1"/>
  <c r="K1606" i="1"/>
  <c r="L1606" i="1" s="1"/>
  <c r="K1607" i="1"/>
  <c r="L1607" i="1" s="1"/>
  <c r="K1608" i="1"/>
  <c r="L1608" i="1" s="1"/>
  <c r="K1609" i="1"/>
  <c r="L1609" i="1" s="1"/>
  <c r="K1610" i="1"/>
  <c r="L1610" i="1" s="1"/>
  <c r="K1611" i="1"/>
  <c r="L1611" i="1" s="1"/>
  <c r="K1612" i="1"/>
  <c r="L1612" i="1" s="1"/>
  <c r="K1613" i="1"/>
  <c r="L1613" i="1" s="1"/>
  <c r="K1614" i="1"/>
  <c r="L1614" i="1" s="1"/>
  <c r="K1615" i="1"/>
  <c r="L1615" i="1" s="1"/>
  <c r="K1616" i="1"/>
  <c r="L1616" i="1" s="1"/>
  <c r="K1617" i="1"/>
  <c r="L1617" i="1" s="1"/>
  <c r="K1618" i="1"/>
  <c r="L1618" i="1" s="1"/>
  <c r="K1619" i="1"/>
  <c r="L1619" i="1" s="1"/>
  <c r="K1620" i="1"/>
  <c r="L1620" i="1" s="1"/>
  <c r="K1621" i="1"/>
  <c r="L1621" i="1" s="1"/>
  <c r="K1622" i="1"/>
  <c r="L1622" i="1" s="1"/>
  <c r="K1623" i="1"/>
  <c r="L1623" i="1" s="1"/>
  <c r="K1624" i="1"/>
  <c r="L1624" i="1" s="1"/>
  <c r="K1625" i="1"/>
  <c r="L1625" i="1" s="1"/>
  <c r="K1626" i="1"/>
  <c r="L1626" i="1" s="1"/>
  <c r="K1627" i="1"/>
  <c r="L1627" i="1" s="1"/>
  <c r="K1628" i="1"/>
  <c r="L1628" i="1" s="1"/>
  <c r="K1629" i="1"/>
  <c r="L1629" i="1" s="1"/>
  <c r="K1630" i="1"/>
  <c r="L1630" i="1" s="1"/>
  <c r="K1631" i="1"/>
  <c r="L1631" i="1" s="1"/>
  <c r="K1632" i="1"/>
  <c r="L1632" i="1" s="1"/>
  <c r="K1633" i="1"/>
  <c r="L1633" i="1" s="1"/>
  <c r="K1634" i="1"/>
  <c r="L1634" i="1" s="1"/>
  <c r="K1635" i="1"/>
  <c r="L1635" i="1" s="1"/>
  <c r="K1636" i="1"/>
  <c r="L1636" i="1" s="1"/>
  <c r="K1637" i="1"/>
  <c r="L1637" i="1" s="1"/>
  <c r="K1638" i="1"/>
  <c r="L1638" i="1" s="1"/>
  <c r="K1639" i="1"/>
  <c r="L1639" i="1" s="1"/>
  <c r="K1640" i="1"/>
  <c r="L1640" i="1" s="1"/>
  <c r="K1641" i="1"/>
  <c r="L1641" i="1" s="1"/>
  <c r="K1642" i="1"/>
  <c r="L1642" i="1" s="1"/>
  <c r="K1643" i="1"/>
  <c r="L1643" i="1" s="1"/>
  <c r="K1644" i="1"/>
  <c r="L1644" i="1" s="1"/>
  <c r="K1645" i="1"/>
  <c r="L1645" i="1" s="1"/>
  <c r="K1646" i="1"/>
  <c r="L1646" i="1" s="1"/>
  <c r="K1647" i="1"/>
  <c r="L1647" i="1" s="1"/>
  <c r="K1648" i="1"/>
  <c r="L1648" i="1" s="1"/>
  <c r="K1649" i="1"/>
  <c r="L1649" i="1" s="1"/>
  <c r="K1650" i="1"/>
  <c r="L1650" i="1" s="1"/>
  <c r="K1651" i="1"/>
  <c r="L1651" i="1" s="1"/>
  <c r="K1652" i="1"/>
  <c r="L1652" i="1" s="1"/>
  <c r="K1653" i="1"/>
  <c r="L1653" i="1" s="1"/>
  <c r="K1654" i="1"/>
  <c r="L1654" i="1" s="1"/>
  <c r="K1655" i="1"/>
  <c r="L1655" i="1" s="1"/>
  <c r="K1656" i="1"/>
  <c r="L1656" i="1" s="1"/>
  <c r="K1657" i="1"/>
  <c r="L1657" i="1" s="1"/>
  <c r="K1658" i="1"/>
  <c r="L1658" i="1" s="1"/>
  <c r="K1659" i="1"/>
  <c r="L1659" i="1" s="1"/>
  <c r="K1660" i="1"/>
  <c r="L1660" i="1" s="1"/>
  <c r="K1661" i="1"/>
  <c r="L1661" i="1" s="1"/>
  <c r="K1662" i="1"/>
  <c r="L1662" i="1" s="1"/>
  <c r="K1663" i="1"/>
  <c r="L1663" i="1" s="1"/>
  <c r="K1664" i="1"/>
  <c r="L1664" i="1" s="1"/>
  <c r="K1665" i="1"/>
  <c r="L1665" i="1" s="1"/>
  <c r="K1666" i="1"/>
  <c r="L1666" i="1" s="1"/>
  <c r="K1667" i="1"/>
  <c r="L1667" i="1" s="1"/>
  <c r="K1668" i="1"/>
  <c r="L1668" i="1" s="1"/>
  <c r="K1669" i="1"/>
  <c r="L1669" i="1" s="1"/>
  <c r="K1670" i="1"/>
  <c r="L1670" i="1" s="1"/>
  <c r="K1671" i="1"/>
  <c r="L1671" i="1" s="1"/>
  <c r="K1672" i="1"/>
  <c r="L1672" i="1" s="1"/>
  <c r="K1673" i="1"/>
  <c r="L1673" i="1" s="1"/>
  <c r="K1674" i="1"/>
  <c r="L1674" i="1" s="1"/>
  <c r="K1675" i="1"/>
  <c r="L1675" i="1" s="1"/>
  <c r="K1676" i="1"/>
  <c r="L1676" i="1" s="1"/>
  <c r="K1677" i="1"/>
  <c r="L1677" i="1" s="1"/>
  <c r="K1678" i="1"/>
  <c r="L1678" i="1" s="1"/>
  <c r="K1679" i="1"/>
  <c r="L1679" i="1" s="1"/>
  <c r="K1680" i="1"/>
  <c r="L1680" i="1" s="1"/>
  <c r="K1681" i="1"/>
  <c r="L1681" i="1" s="1"/>
  <c r="K1682" i="1"/>
  <c r="L1682" i="1" s="1"/>
  <c r="K1683" i="1"/>
  <c r="L1683" i="1" s="1"/>
  <c r="K1684" i="1"/>
  <c r="L1684" i="1" s="1"/>
  <c r="K1685" i="1"/>
  <c r="L1685" i="1" s="1"/>
  <c r="K1686" i="1"/>
  <c r="L1686" i="1" s="1"/>
  <c r="K1687" i="1"/>
  <c r="L1687" i="1" s="1"/>
  <c r="K1688" i="1"/>
  <c r="L1688" i="1" s="1"/>
  <c r="K1689" i="1"/>
  <c r="L1689" i="1" s="1"/>
  <c r="K1690" i="1"/>
  <c r="L1690" i="1" s="1"/>
  <c r="K1691" i="1"/>
  <c r="L1691" i="1" s="1"/>
  <c r="K1692" i="1"/>
  <c r="L1692" i="1" s="1"/>
  <c r="K1693" i="1"/>
  <c r="L1693" i="1" s="1"/>
  <c r="K1694" i="1"/>
  <c r="L1694" i="1" s="1"/>
  <c r="K1695" i="1"/>
  <c r="L1695" i="1" s="1"/>
  <c r="K1696" i="1"/>
  <c r="L1696" i="1" s="1"/>
  <c r="K1697" i="1"/>
  <c r="L1697" i="1" s="1"/>
  <c r="K1698" i="1"/>
  <c r="L1698" i="1" s="1"/>
  <c r="K1699" i="1"/>
  <c r="L1699" i="1" s="1"/>
  <c r="K1700" i="1"/>
  <c r="L1700" i="1" s="1"/>
  <c r="K1701" i="1"/>
  <c r="L1701" i="1" s="1"/>
  <c r="K1702" i="1"/>
  <c r="L1702" i="1" s="1"/>
  <c r="K1703" i="1"/>
  <c r="L1703" i="1" s="1"/>
  <c r="K1704" i="1"/>
  <c r="L1704" i="1" s="1"/>
  <c r="K1705" i="1"/>
  <c r="L1705" i="1" s="1"/>
  <c r="K1706" i="1"/>
  <c r="L1706" i="1" s="1"/>
  <c r="K1707" i="1"/>
  <c r="L1707" i="1" s="1"/>
  <c r="K1708" i="1"/>
  <c r="L1708" i="1" s="1"/>
  <c r="K1709" i="1"/>
  <c r="L1709" i="1" s="1"/>
  <c r="K1710" i="1"/>
  <c r="L1710" i="1" s="1"/>
  <c r="K1711" i="1"/>
  <c r="L1711" i="1" s="1"/>
  <c r="K1712" i="1"/>
  <c r="L1712" i="1" s="1"/>
  <c r="K1713" i="1"/>
  <c r="L1713" i="1" s="1"/>
  <c r="K1714" i="1"/>
  <c r="L1714" i="1" s="1"/>
  <c r="K1715" i="1"/>
  <c r="L1715" i="1" s="1"/>
  <c r="K1716" i="1"/>
  <c r="L1716" i="1" s="1"/>
  <c r="K1717" i="1"/>
  <c r="L1717" i="1" s="1"/>
  <c r="K1718" i="1"/>
  <c r="L1718" i="1" s="1"/>
  <c r="K1719" i="1"/>
  <c r="L1719" i="1" s="1"/>
  <c r="K1720" i="1"/>
  <c r="L1720" i="1" s="1"/>
  <c r="K1721" i="1"/>
  <c r="L1721" i="1" s="1"/>
  <c r="K1722" i="1"/>
  <c r="L1722" i="1" s="1"/>
  <c r="K1723" i="1"/>
  <c r="L1723" i="1" s="1"/>
  <c r="K1724" i="1"/>
  <c r="L1724" i="1" s="1"/>
  <c r="K1725" i="1"/>
  <c r="L1725" i="1" s="1"/>
  <c r="K1726" i="1"/>
  <c r="L1726" i="1" s="1"/>
  <c r="K1727" i="1"/>
  <c r="L1727" i="1" s="1"/>
  <c r="K1728" i="1"/>
  <c r="L1728" i="1" s="1"/>
  <c r="K1729" i="1"/>
  <c r="L1729" i="1" s="1"/>
  <c r="K1730" i="1"/>
  <c r="L1730" i="1" s="1"/>
  <c r="K1731" i="1"/>
  <c r="L1731" i="1" s="1"/>
  <c r="K1732" i="1"/>
  <c r="L1732" i="1" s="1"/>
  <c r="K1733" i="1"/>
  <c r="L1733" i="1" s="1"/>
  <c r="K1734" i="1"/>
  <c r="L1734" i="1" s="1"/>
  <c r="K1735" i="1"/>
  <c r="L1735" i="1" s="1"/>
  <c r="K1736" i="1"/>
  <c r="L1736" i="1" s="1"/>
  <c r="K1737" i="1"/>
  <c r="L1737" i="1" s="1"/>
  <c r="K1738" i="1"/>
  <c r="L1738" i="1" s="1"/>
  <c r="K1739" i="1"/>
  <c r="L1739" i="1" s="1"/>
  <c r="K1740" i="1"/>
  <c r="L1740" i="1" s="1"/>
  <c r="K1741" i="1"/>
  <c r="L1741" i="1" s="1"/>
  <c r="K1742" i="1"/>
  <c r="L1742" i="1" s="1"/>
  <c r="K1743" i="1"/>
  <c r="L1743" i="1" s="1"/>
  <c r="K1744" i="1"/>
  <c r="L1744" i="1" s="1"/>
  <c r="K1745" i="1"/>
  <c r="L1745" i="1" s="1"/>
  <c r="K1746" i="1"/>
  <c r="L1746" i="1" s="1"/>
  <c r="K1747" i="1"/>
  <c r="L1747" i="1" s="1"/>
  <c r="K1748" i="1"/>
  <c r="L1748" i="1" s="1"/>
  <c r="K1749" i="1"/>
  <c r="L1749" i="1" s="1"/>
  <c r="K1750" i="1"/>
  <c r="L1750" i="1" s="1"/>
  <c r="K1751" i="1"/>
  <c r="L1751" i="1" s="1"/>
  <c r="K1752" i="1"/>
  <c r="L1752" i="1" s="1"/>
  <c r="K1753" i="1"/>
  <c r="L1753" i="1" s="1"/>
  <c r="K1754" i="1"/>
  <c r="L1754" i="1" s="1"/>
  <c r="K1755" i="1"/>
  <c r="L1755" i="1" s="1"/>
  <c r="K1756" i="1"/>
  <c r="L1756" i="1" s="1"/>
  <c r="K1757" i="1"/>
  <c r="L1757" i="1" s="1"/>
  <c r="K1758" i="1"/>
  <c r="L1758" i="1" s="1"/>
  <c r="K1759" i="1"/>
  <c r="L1759" i="1" s="1"/>
  <c r="K1760" i="1"/>
  <c r="L1760" i="1" s="1"/>
  <c r="K1761" i="1"/>
  <c r="L1761" i="1" s="1"/>
  <c r="K1762" i="1"/>
  <c r="L1762" i="1" s="1"/>
  <c r="K1763" i="1"/>
  <c r="L1763" i="1" s="1"/>
  <c r="K1764" i="1"/>
  <c r="L1764" i="1" s="1"/>
  <c r="K1765" i="1"/>
  <c r="L1765" i="1" s="1"/>
  <c r="K1766" i="1"/>
  <c r="L1766" i="1" s="1"/>
  <c r="K1767" i="1"/>
  <c r="L1767" i="1" s="1"/>
  <c r="K1768" i="1"/>
  <c r="L1768" i="1" s="1"/>
  <c r="K1769" i="1"/>
  <c r="L1769" i="1" s="1"/>
  <c r="K1770" i="1"/>
  <c r="L1770" i="1" s="1"/>
  <c r="K1771" i="1"/>
  <c r="L1771" i="1" s="1"/>
  <c r="K1772" i="1"/>
  <c r="L1772" i="1" s="1"/>
  <c r="K1773" i="1"/>
  <c r="L1773" i="1" s="1"/>
  <c r="K1774" i="1"/>
  <c r="L1774" i="1" s="1"/>
  <c r="K1775" i="1"/>
  <c r="L1775" i="1" s="1"/>
  <c r="K1776" i="1"/>
  <c r="L1776" i="1" s="1"/>
  <c r="K1777" i="1"/>
  <c r="L1777" i="1" s="1"/>
  <c r="K1778" i="1"/>
  <c r="L1778" i="1" s="1"/>
  <c r="K1779" i="1"/>
  <c r="L1779" i="1" s="1"/>
  <c r="K1780" i="1"/>
  <c r="L1780" i="1" s="1"/>
  <c r="K1781" i="1"/>
  <c r="L1781" i="1" s="1"/>
  <c r="K1782" i="1"/>
  <c r="L1782" i="1" s="1"/>
  <c r="K1783" i="1"/>
  <c r="L1783" i="1" s="1"/>
  <c r="K1784" i="1"/>
  <c r="L1784" i="1" s="1"/>
  <c r="K1785" i="1"/>
  <c r="L1785" i="1" s="1"/>
  <c r="K1786" i="1"/>
  <c r="L1786" i="1" s="1"/>
  <c r="K1787" i="1"/>
  <c r="L1787" i="1" s="1"/>
  <c r="K1788" i="1"/>
  <c r="L1788" i="1" s="1"/>
  <c r="K1789" i="1"/>
  <c r="L1789" i="1" s="1"/>
  <c r="K1790" i="1"/>
  <c r="L1790" i="1" s="1"/>
  <c r="K1791" i="1"/>
  <c r="L1791" i="1" s="1"/>
  <c r="K1792" i="1"/>
  <c r="L1792" i="1" s="1"/>
  <c r="K1793" i="1"/>
  <c r="L1793" i="1" s="1"/>
  <c r="K1794" i="1"/>
  <c r="L1794" i="1" s="1"/>
  <c r="K1795" i="1"/>
  <c r="L1795" i="1" s="1"/>
  <c r="K1796" i="1"/>
  <c r="L1796" i="1" s="1"/>
  <c r="K1797" i="1"/>
  <c r="L1797" i="1" s="1"/>
  <c r="K1798" i="1"/>
  <c r="L1798" i="1" s="1"/>
  <c r="K1799" i="1"/>
  <c r="L1799" i="1" s="1"/>
  <c r="K1800" i="1"/>
  <c r="L1800" i="1" s="1"/>
  <c r="K1801" i="1"/>
  <c r="L1801" i="1" s="1"/>
  <c r="K2" i="1"/>
  <c r="L2" i="1" s="1"/>
</calcChain>
</file>

<file path=xl/sharedStrings.xml><?xml version="1.0" encoding="utf-8"?>
<sst xmlns="http://schemas.openxmlformats.org/spreadsheetml/2006/main" count="7218" uniqueCount="34">
  <si>
    <t>DE</t>
  </si>
  <si>
    <t>SDR</t>
  </si>
  <si>
    <t>PN</t>
  </si>
  <si>
    <t>SDR41</t>
  </si>
  <si>
    <t>SDR33</t>
  </si>
  <si>
    <t>SDR26</t>
  </si>
  <si>
    <t>SDR21</t>
  </si>
  <si>
    <t>SDR17</t>
  </si>
  <si>
    <t>SDR13,6</t>
  </si>
  <si>
    <t>SDR11</t>
  </si>
  <si>
    <t>SDR9</t>
  </si>
  <si>
    <t>SDR7,4</t>
  </si>
  <si>
    <t>Supplier</t>
  </si>
  <si>
    <t>Centraltubi</t>
  </si>
  <si>
    <t>Material</t>
  </si>
  <si>
    <t>PE100</t>
  </si>
  <si>
    <t>PE100RC</t>
  </si>
  <si>
    <t>PE100RCD</t>
  </si>
  <si>
    <t>Elydan</t>
  </si>
  <si>
    <t>Valid_Until</t>
  </si>
  <si>
    <t>Price</t>
  </si>
  <si>
    <t>touret</t>
  </si>
  <si>
    <t>Package</t>
  </si>
  <si>
    <t>barre</t>
  </si>
  <si>
    <t>MOQ 12ml</t>
  </si>
  <si>
    <t>MOQ 14 ml</t>
  </si>
  <si>
    <t>Concate SDR</t>
  </si>
  <si>
    <t>Prix maj</t>
  </si>
  <si>
    <t>procédure de maj de prix</t>
  </si>
  <si>
    <t>approver le lien, le prix en colonne L sera automatiquement maj.</t>
  </si>
  <si>
    <t xml:space="preserve">selectionner toute la colonne E, entrez formule =L2, assurer qu'il n'y a pas de tri en hang 1, double cliquer la cellule pour tirer la formule sur toute la colonne </t>
  </si>
  <si>
    <t>selectionner toute la colonne E, Ctrl C et clique droit pour choisir " collage speciale=&gt; la valeur uniquement", sauvegarde le ficher</t>
  </si>
  <si>
    <t>telecharger une copie</t>
  </si>
  <si>
    <t>PE100RD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</si>
</sst>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* #,##0.00\ &quot;€&quot;_-;\-* #,##0.00\ &quot;€&quot;_-;_-* &quot;-&quot;??\ &quot;€&quot;_-;_-@_-"/>
  </numFmts>
  <fonts count="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name val="Calibri"/>
      <family val="1"/>
    </font>
    <font>
      <sz val="10.5"/>
      <name val="Calibri"/>
      <family val="2"/>
    </font>
    <font>
      <sz val="8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1"/>
      <color rgb="FF242424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C6DFB3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8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/>
      <top style="thin">
        <color rgb="FF548234"/>
      </top>
      <bottom/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4">
    <xf numFmtId="0" fontId="0" fillId="0" borderId="0" xfId="0"/>
    <xf numFmtId="44" fontId="0" fillId="0" borderId="0" xfId="1" applyFont="1"/>
    <xf numFmtId="0" fontId="0" fillId="0" borderId="1" xfId="0" applyBorder="1"/>
    <xf numFmtId="0" fontId="2" fillId="2" borderId="4" xfId="0" applyFont="1" applyFill="1" applyBorder="1" applyAlignment="1">
      <alignment horizontal="center" vertical="top" wrapText="1"/>
    </xf>
    <xf numFmtId="0" fontId="2" fillId="2" borderId="5" xfId="0" applyFont="1" applyFill="1" applyBorder="1" applyAlignment="1">
      <alignment horizontal="center" vertical="top" wrapText="1"/>
    </xf>
    <xf numFmtId="44" fontId="2" fillId="2" borderId="5" xfId="1" applyFont="1" applyFill="1" applyBorder="1" applyAlignment="1">
      <alignment horizontal="center" vertical="top" wrapText="1"/>
    </xf>
    <xf numFmtId="0" fontId="2" fillId="2" borderId="6" xfId="0" applyFont="1" applyFill="1" applyBorder="1" applyAlignment="1">
      <alignment horizontal="center" vertical="top" wrapText="1"/>
    </xf>
    <xf numFmtId="0" fontId="2" fillId="2" borderId="7" xfId="0" applyFont="1" applyFill="1" applyBorder="1" applyAlignment="1">
      <alignment horizontal="center" vertical="top" wrapText="1"/>
    </xf>
    <xf numFmtId="0" fontId="0" fillId="6" borderId="4" xfId="0" applyFill="1" applyBorder="1"/>
    <xf numFmtId="0" fontId="3" fillId="6" borderId="5" xfId="0" applyFont="1" applyFill="1" applyBorder="1" applyAlignment="1">
      <alignment horizontal="center" vertical="top" wrapText="1"/>
    </xf>
    <xf numFmtId="44" fontId="3" fillId="6" borderId="5" xfId="1" applyFont="1" applyFill="1" applyBorder="1" applyAlignment="1">
      <alignment horizontal="center" vertical="top" wrapText="1"/>
    </xf>
    <xf numFmtId="0" fontId="3" fillId="6" borderId="6" xfId="0" applyFont="1" applyFill="1" applyBorder="1" applyAlignment="1">
      <alignment horizontal="center" vertical="top" wrapText="1"/>
    </xf>
    <xf numFmtId="14" fontId="3" fillId="6" borderId="6" xfId="0" applyNumberFormat="1" applyFont="1" applyFill="1" applyBorder="1" applyAlignment="1">
      <alignment horizontal="center" vertical="top" wrapText="1"/>
    </xf>
    <xf numFmtId="0" fontId="3" fillId="6" borderId="7" xfId="0" applyFont="1" applyFill="1" applyBorder="1" applyAlignment="1">
      <alignment horizontal="center" vertical="top" wrapText="1"/>
    </xf>
    <xf numFmtId="0" fontId="0" fillId="0" borderId="4" xfId="0" applyBorder="1"/>
    <xf numFmtId="0" fontId="3" fillId="0" borderId="6" xfId="0" applyFont="1" applyBorder="1" applyAlignment="1">
      <alignment horizontal="center" vertical="top" wrapText="1"/>
    </xf>
    <xf numFmtId="44" fontId="3" fillId="0" borderId="6" xfId="1" applyFont="1" applyBorder="1" applyAlignment="1">
      <alignment horizontal="center" vertical="top" wrapText="1"/>
    </xf>
    <xf numFmtId="14" fontId="3" fillId="0" borderId="6" xfId="0" applyNumberFormat="1" applyFont="1" applyBorder="1" applyAlignment="1">
      <alignment horizontal="center" vertical="top" wrapText="1"/>
    </xf>
    <xf numFmtId="0" fontId="3" fillId="0" borderId="7" xfId="0" applyFont="1" applyBorder="1" applyAlignment="1">
      <alignment horizontal="center" vertical="top" wrapText="1"/>
    </xf>
    <xf numFmtId="44" fontId="3" fillId="6" borderId="6" xfId="1" applyFont="1" applyFill="1" applyBorder="1" applyAlignment="1">
      <alignment horizontal="center" vertical="top" wrapText="1"/>
    </xf>
    <xf numFmtId="44" fontId="0" fillId="4" borderId="6" xfId="1" applyFont="1" applyFill="1" applyBorder="1" applyAlignment="1">
      <alignment horizontal="left" vertical="top"/>
    </xf>
    <xf numFmtId="44" fontId="0" fillId="5" borderId="6" xfId="1" applyFont="1" applyFill="1" applyBorder="1" applyAlignment="1">
      <alignment horizontal="left" vertical="top"/>
    </xf>
    <xf numFmtId="44" fontId="0" fillId="3" borderId="6" xfId="1" applyFont="1" applyFill="1" applyBorder="1" applyAlignment="1">
      <alignment horizontal="left" vertical="top"/>
    </xf>
    <xf numFmtId="0" fontId="3" fillId="0" borderId="2" xfId="0" applyFont="1" applyBorder="1" applyAlignment="1">
      <alignment horizontal="center" vertical="top" wrapText="1"/>
    </xf>
    <xf numFmtId="44" fontId="0" fillId="5" borderId="2" xfId="1" applyFont="1" applyFill="1" applyBorder="1" applyAlignment="1">
      <alignment horizontal="left" vertical="top"/>
    </xf>
    <xf numFmtId="14" fontId="3" fillId="0" borderId="2" xfId="0" applyNumberFormat="1" applyFont="1" applyBorder="1" applyAlignment="1">
      <alignment horizontal="center" vertical="top" wrapText="1"/>
    </xf>
    <xf numFmtId="0" fontId="3" fillId="0" borderId="3" xfId="0" applyFont="1" applyBorder="1" applyAlignment="1">
      <alignment horizontal="center" vertical="top" wrapText="1"/>
    </xf>
    <xf numFmtId="14" fontId="2" fillId="2" borderId="6" xfId="0" applyNumberFormat="1" applyFont="1" applyFill="1" applyBorder="1" applyAlignment="1">
      <alignment horizontal="center" vertical="top" wrapText="1"/>
    </xf>
    <xf numFmtId="14" fontId="0" fillId="0" borderId="0" xfId="0" applyNumberFormat="1"/>
    <xf numFmtId="0" fontId="2" fillId="2" borderId="0" xfId="0" applyFont="1" applyFill="1" applyAlignment="1">
      <alignment horizontal="center" vertical="top" wrapText="1"/>
    </xf>
    <xf numFmtId="44" fontId="2" fillId="2" borderId="0" xfId="1" applyFont="1" applyFill="1" applyBorder="1" applyAlignment="1">
      <alignment horizontal="center" vertical="top" wrapText="1"/>
    </xf>
    <xf numFmtId="0" fontId="5" fillId="0" borderId="0" xfId="0" applyFont="1"/>
    <xf numFmtId="0" fontId="6" fillId="0" borderId="0" xfId="0" applyFont="1"/>
    <xf numFmtId="0" fontId="3" fillId="6" borderId="0" xfId="0" applyFont="1" applyFill="1" applyAlignment="1">
      <alignment horizontal="center" vertical="top" wrapText="1"/>
    </xf>
  </cellXfs>
  <cellStyles count="2">
    <cellStyle name="Monétaire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Bureau/downoads/Category%20Management/TUBE%20PEHD/AO%20PEHD/02.1%20-%20Offre%20fournisseur%20Tuyaux/Outil%20Tarif%20Tuyaux%20PEHD%20-%20DAM%20082026.xlsx" TargetMode="External"/><Relationship Id="rId2" Type="http://schemas.openxmlformats.org/officeDocument/2006/relationships/externalLinkPath" Target="https://nge1-my.sharepoint.com/personal/zelie_xia_nge_fr/Documents/Bureau/downoads/Category%20Management/TUBE%20PEHD/AO%20PEHD/02.1%20-%20Offre%20fournisseur%20Tuyaux/Outil%20Tarif%20Tuyaux%20PEHD%20-%20DAM%20082026.xlsx" TargetMode="External"/><Relationship Id="rId1" Type="http://schemas.openxmlformats.org/officeDocument/2006/relationships/externalLinkPath" Target="/personal/zelie_xia_nge_fr/Documents/Bureau/downoads/Category%20Management/TUBE%20PEHD/AO%20PEHD/02.1%20-%20Offre%20fournisseur%20Tuyaux/Outil%20Tarif%20Tuyaux%20PEHD%20-%20DAM%2008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Table 1"/>
      <sheetName val="Table 2"/>
      <sheetName val="Tarif Contrat"/>
      <sheetName val="Tarif - Evolution Marché"/>
      <sheetName val="Condition Transport"/>
      <sheetName val="Logigramme Elydan"/>
      <sheetName val="Remplissage camion plateau12&amp;14"/>
      <sheetName val="Evolution Ethylène C2"/>
      <sheetName val="CPF 22.21"/>
      <sheetName val="Brent"/>
      <sheetName val="Feuil1"/>
      <sheetName val="Copie_SADE_DR OUEST"/>
    </sheetNames>
    <sheetDataSet>
      <sheetData sheetId="0"/>
      <sheetData sheetId="1"/>
      <sheetData sheetId="2"/>
      <sheetData sheetId="3">
        <row r="1">
          <cell r="G1">
            <v>46204</v>
          </cell>
          <cell r="H1" t="str">
            <v>Centraltubi</v>
          </cell>
          <cell r="I1" t="str">
            <v>Centraltubi</v>
          </cell>
          <cell r="J1" t="str">
            <v>Centraltubi</v>
          </cell>
          <cell r="K1" t="str">
            <v>Elydan</v>
          </cell>
          <cell r="L1" t="str">
            <v>Elydan</v>
          </cell>
          <cell r="M1" t="str">
            <v>Elydan</v>
          </cell>
          <cell r="N1" t="str">
            <v>Elydan</v>
          </cell>
        </row>
        <row r="2">
          <cell r="G2" t="str">
            <v>Evolution sur prix final par rapport au prix contractualisé</v>
          </cell>
          <cell r="H2">
            <v>0.15699588477366255</v>
          </cell>
          <cell r="I2">
            <v>0.15699588477366255</v>
          </cell>
          <cell r="J2">
            <v>0.15699588477366255</v>
          </cell>
          <cell r="K2">
            <v>0.17869198312236279</v>
          </cell>
          <cell r="L2">
            <v>0.17869198312236279</v>
          </cell>
          <cell r="M2">
            <v>0.17869198312236279</v>
          </cell>
          <cell r="N2">
            <v>0.17869198312236279</v>
          </cell>
        </row>
        <row r="3">
          <cell r="G3" t="str">
            <v>K</v>
          </cell>
          <cell r="H3">
            <v>0.22427983539094654</v>
          </cell>
          <cell r="I3">
            <v>0.22427983539094654</v>
          </cell>
          <cell r="J3">
            <v>0.22427983539094654</v>
          </cell>
          <cell r="K3">
            <v>0.25527426160337541</v>
          </cell>
          <cell r="L3">
            <v>0.25527426160337541</v>
          </cell>
          <cell r="M3">
            <v>0.25527426160337541</v>
          </cell>
          <cell r="N3">
            <v>0.25527426160337541</v>
          </cell>
        </row>
        <row r="4">
          <cell r="F4" t="str">
            <v>Evolution Prix €/kg Ethylène C2</v>
          </cell>
          <cell r="G4">
            <v>1.4875</v>
          </cell>
          <cell r="H4">
            <v>2.0247427983539095</v>
          </cell>
          <cell r="I4">
            <v>2.186722222222222</v>
          </cell>
          <cell r="J4">
            <v>2.2792818930041152</v>
          </cell>
          <cell r="K4">
            <v>2.2395147679324894</v>
          </cell>
          <cell r="L4">
            <v>2.4163185654008434</v>
          </cell>
          <cell r="M4">
            <v>2.4163185654008434</v>
          </cell>
          <cell r="N4">
            <v>2.5931223628691984</v>
          </cell>
        </row>
        <row r="5">
          <cell r="G5" t="str">
            <v>Date</v>
          </cell>
          <cell r="H5">
            <v>45536</v>
          </cell>
          <cell r="I5">
            <v>45536</v>
          </cell>
          <cell r="J5">
            <v>45536</v>
          </cell>
          <cell r="K5">
            <v>45536</v>
          </cell>
          <cell r="L5">
            <v>45536</v>
          </cell>
          <cell r="M5">
            <v>45536</v>
          </cell>
          <cell r="N5">
            <v>45536</v>
          </cell>
        </row>
        <row r="6">
          <cell r="G6" t="str">
            <v>Référence Prix €/kg Ethylène C2</v>
          </cell>
          <cell r="H6">
            <v>1.2150000000000001</v>
          </cell>
          <cell r="I6">
            <v>1.2150000000000001</v>
          </cell>
          <cell r="J6">
            <v>1.2150000000000001</v>
          </cell>
          <cell r="K6">
            <v>1.1850000000000001</v>
          </cell>
          <cell r="L6">
            <v>1.1850000000000001</v>
          </cell>
          <cell r="M6">
            <v>1.1850000000000001</v>
          </cell>
          <cell r="N6">
            <v>1.1850000000000001</v>
          </cell>
        </row>
        <row r="7">
          <cell r="G7" t="str">
            <v>Prix EXW €/kg  Contractualisé (confidentiel)</v>
          </cell>
          <cell r="H7">
            <v>1.75</v>
          </cell>
          <cell r="I7">
            <v>1.89</v>
          </cell>
          <cell r="J7">
            <v>1.97</v>
          </cell>
          <cell r="K7">
            <v>1.9</v>
          </cell>
          <cell r="L7">
            <v>2.0499999999999998</v>
          </cell>
          <cell r="M7">
            <v>2.0499999999999998</v>
          </cell>
          <cell r="N7">
            <v>2.2000000000000002</v>
          </cell>
        </row>
        <row r="8">
          <cell r="F8" t="str">
            <v>Concate SDR</v>
          </cell>
          <cell r="G8" t="str">
            <v>Poids kg/m</v>
          </cell>
          <cell r="H8" t="str">
            <v>Prix €/ML 2024 - PE100</v>
          </cell>
          <cell r="I8" t="str">
            <v>Prix €/ML 2024 - PE100 RC</v>
          </cell>
          <cell r="J8" t="str">
            <v>Prix €/ML 2024 - PE100 RCD</v>
          </cell>
          <cell r="K8" t="str">
            <v>Prix €/ML 2024 - PE100</v>
          </cell>
          <cell r="L8" t="str">
            <v>Prix €/ML 2024 - PE100 RC ou RCD</v>
          </cell>
          <cell r="M8" t="str">
            <v>Prix Touret €/ML 2024 - PE100</v>
          </cell>
          <cell r="N8" t="str">
            <v>Prix Touret €/ML 2024 - PE100 RC ou RCD</v>
          </cell>
        </row>
        <row r="9">
          <cell r="F9" t="str">
            <v>DE75-SDR51</v>
          </cell>
          <cell r="G9">
            <v>0.44</v>
          </cell>
          <cell r="H9">
            <v>0.89088683127572021</v>
          </cell>
          <cell r="I9">
            <v>0.96215777777777767</v>
          </cell>
          <cell r="J9">
            <v>1.0028840329218107</v>
          </cell>
          <cell r="K9">
            <v>0.98538649789029531</v>
          </cell>
          <cell r="L9">
            <v>1.0631801687763711</v>
          </cell>
          <cell r="M9">
            <v>1.0631801687763711</v>
          </cell>
          <cell r="N9">
            <v>1.1409738396624474</v>
          </cell>
        </row>
        <row r="10">
          <cell r="F10" t="str">
            <v>DE90-SDR51</v>
          </cell>
          <cell r="G10">
            <v>0.53100000000000003</v>
          </cell>
          <cell r="H10">
            <v>1.075138425925926</v>
          </cell>
          <cell r="I10">
            <v>1.1611495000000001</v>
          </cell>
          <cell r="J10">
            <v>1.2102986851851851</v>
          </cell>
          <cell r="K10">
            <v>1.1891823417721519</v>
          </cell>
          <cell r="L10">
            <v>1.2830651582278478</v>
          </cell>
          <cell r="M10">
            <v>1.2830651582278478</v>
          </cell>
          <cell r="N10">
            <v>1.3769479746835445</v>
          </cell>
        </row>
        <row r="11">
          <cell r="F11" t="str">
            <v>DE110-SDR51</v>
          </cell>
          <cell r="G11">
            <v>0.79500000000000004</v>
          </cell>
          <cell r="H11">
            <v>1.6096705246913581</v>
          </cell>
          <cell r="I11">
            <v>1.7384441666666666</v>
          </cell>
          <cell r="J11">
            <v>1.8120291049382717</v>
          </cell>
          <cell r="K11">
            <v>1.7804142405063292</v>
          </cell>
          <cell r="L11">
            <v>1.9209732594936706</v>
          </cell>
          <cell r="M11">
            <v>1.9209732594936706</v>
          </cell>
          <cell r="N11">
            <v>2.0615322784810126</v>
          </cell>
        </row>
        <row r="12">
          <cell r="F12" t="str">
            <v>DE125-SDR51</v>
          </cell>
          <cell r="G12">
            <v>1.01</v>
          </cell>
          <cell r="H12">
            <v>2.0449902263374486</v>
          </cell>
          <cell r="I12">
            <v>2.2085894444444443</v>
          </cell>
          <cell r="J12">
            <v>2.3020747119341562</v>
          </cell>
          <cell r="K12">
            <v>2.2619099156118141</v>
          </cell>
          <cell r="L12">
            <v>2.4404817510548518</v>
          </cell>
          <cell r="M12">
            <v>2.4404817510548518</v>
          </cell>
          <cell r="N12">
            <v>2.6190535864978903</v>
          </cell>
        </row>
        <row r="13">
          <cell r="F13" t="str">
            <v>DE140-SDR51</v>
          </cell>
          <cell r="G13">
            <v>1.26</v>
          </cell>
          <cell r="H13">
            <v>2.5511759259259259</v>
          </cell>
          <cell r="I13">
            <v>2.7552699999999999</v>
          </cell>
          <cell r="J13">
            <v>2.8718951851851853</v>
          </cell>
          <cell r="K13">
            <v>2.8217886075949368</v>
          </cell>
          <cell r="L13">
            <v>3.044561392405063</v>
          </cell>
          <cell r="M13">
            <v>3.044561392405063</v>
          </cell>
          <cell r="N13">
            <v>3.26733417721519</v>
          </cell>
        </row>
        <row r="14">
          <cell r="F14" t="str">
            <v>DE160-SDR51</v>
          </cell>
          <cell r="G14">
            <v>1.65</v>
          </cell>
          <cell r="H14">
            <v>3.3408256172839503</v>
          </cell>
          <cell r="I14">
            <v>3.6080916666666663</v>
          </cell>
          <cell r="J14">
            <v>3.7608151234567897</v>
          </cell>
          <cell r="K14">
            <v>3.6951993670886072</v>
          </cell>
          <cell r="L14">
            <v>3.9869256329113916</v>
          </cell>
          <cell r="M14">
            <v>3.9869256329113916</v>
          </cell>
          <cell r="N14">
            <v>4.2786518987341768</v>
          </cell>
        </row>
        <row r="15">
          <cell r="F15" t="str">
            <v>DE180-SDR51</v>
          </cell>
          <cell r="G15">
            <v>2.0699999999999998</v>
          </cell>
          <cell r="H15">
            <v>4.1912175925925919</v>
          </cell>
          <cell r="I15">
            <v>4.526514999999999</v>
          </cell>
          <cell r="J15">
            <v>4.7181135185185177</v>
          </cell>
          <cell r="K15">
            <v>4.6357955696202531</v>
          </cell>
          <cell r="L15">
            <v>5.0017794303797452</v>
          </cell>
          <cell r="M15">
            <v>5.0017794303797452</v>
          </cell>
          <cell r="N15">
            <v>5.3677632911392399</v>
          </cell>
        </row>
        <row r="16">
          <cell r="F16" t="str">
            <v>DE200-SDR51</v>
          </cell>
          <cell r="G16">
            <v>2.48</v>
          </cell>
          <cell r="H16">
            <v>5.0213621399176951</v>
          </cell>
          <cell r="I16">
            <v>5.4230711111111107</v>
          </cell>
          <cell r="J16">
            <v>5.6526190946502055</v>
          </cell>
          <cell r="K16">
            <v>5.5539966244725738</v>
          </cell>
          <cell r="L16">
            <v>5.9924700421940917</v>
          </cell>
          <cell r="M16">
            <v>5.9924700421940917</v>
          </cell>
          <cell r="N16">
            <v>6.4309434599156123</v>
          </cell>
        </row>
        <row r="17">
          <cell r="F17" t="str">
            <v>DE225-SDR51</v>
          </cell>
          <cell r="G17">
            <v>3.16</v>
          </cell>
          <cell r="H17">
            <v>6.3981872427983539</v>
          </cell>
          <cell r="I17">
            <v>6.9100422222222218</v>
          </cell>
          <cell r="J17">
            <v>7.202530781893004</v>
          </cell>
          <cell r="K17">
            <v>7.0768666666666666</v>
          </cell>
          <cell r="L17">
            <v>7.6355666666666657</v>
          </cell>
          <cell r="M17">
            <v>7.6355666666666657</v>
          </cell>
          <cell r="N17">
            <v>8.1942666666666675</v>
          </cell>
        </row>
        <row r="18">
          <cell r="F18" t="str">
            <v>DE250-SDR51</v>
          </cell>
          <cell r="G18">
            <v>3.88</v>
          </cell>
          <cell r="H18">
            <v>7.8560020576131686</v>
          </cell>
          <cell r="I18">
            <v>8.4844822222222209</v>
          </cell>
          <cell r="J18">
            <v>8.8436137448559666</v>
          </cell>
          <cell r="K18">
            <v>8.6893172995780592</v>
          </cell>
          <cell r="L18">
            <v>9.3753160337552721</v>
          </cell>
          <cell r="M18">
            <v>9.3753160337552721</v>
          </cell>
          <cell r="N18">
            <v>10.06131476793249</v>
          </cell>
        </row>
        <row r="19">
          <cell r="F19" t="str">
            <v>DE280-SDR51</v>
          </cell>
          <cell r="G19">
            <v>4.88</v>
          </cell>
          <cell r="H19">
            <v>9.8807448559670785</v>
          </cell>
          <cell r="I19">
            <v>10.671204444444443</v>
          </cell>
          <cell r="J19">
            <v>11.122895637860083</v>
          </cell>
          <cell r="K19">
            <v>10.928832067510548</v>
          </cell>
          <cell r="L19">
            <v>11.791634599156115</v>
          </cell>
          <cell r="M19">
            <v>11.791634599156115</v>
          </cell>
          <cell r="N19">
            <v>12.654437130801687</v>
          </cell>
        </row>
        <row r="20">
          <cell r="F20" t="str">
            <v>DE315-SDR51</v>
          </cell>
          <cell r="G20">
            <v>6.18</v>
          </cell>
          <cell r="H20">
            <v>12.51291049382716</v>
          </cell>
          <cell r="I20">
            <v>13.513943333333332</v>
          </cell>
          <cell r="J20">
            <v>14.085962098765432</v>
          </cell>
          <cell r="K20">
            <v>13.840201265822783</v>
          </cell>
          <cell r="L20">
            <v>14.932848734177211</v>
          </cell>
          <cell r="M20">
            <v>14.932848734177211</v>
          </cell>
          <cell r="N20">
            <v>16.025496202531645</v>
          </cell>
        </row>
        <row r="21">
          <cell r="F21" t="str">
            <v>DE355-SDR51</v>
          </cell>
          <cell r="G21">
            <v>7.81</v>
          </cell>
          <cell r="H21">
            <v>15.813241255144032</v>
          </cell>
          <cell r="I21">
            <v>17.078300555555554</v>
          </cell>
          <cell r="J21">
            <v>17.80119158436214</v>
          </cell>
          <cell r="K21">
            <v>17.490610337552742</v>
          </cell>
          <cell r="L21">
            <v>18.871447995780585</v>
          </cell>
          <cell r="M21">
            <v>18.871447995780585</v>
          </cell>
          <cell r="N21">
            <v>20.252285654008439</v>
          </cell>
        </row>
        <row r="22">
          <cell r="F22" t="str">
            <v>DE400-SDR51</v>
          </cell>
          <cell r="G22">
            <v>9.92</v>
          </cell>
          <cell r="H22">
            <v>20.08544855967078</v>
          </cell>
          <cell r="I22">
            <v>21.692284444444443</v>
          </cell>
          <cell r="J22">
            <v>22.610476378600822</v>
          </cell>
          <cell r="K22">
            <v>22.215986497890295</v>
          </cell>
          <cell r="L22">
            <v>23.969880168776367</v>
          </cell>
          <cell r="M22">
            <v>23.969880168776367</v>
          </cell>
          <cell r="N22">
            <v>25.723773839662449</v>
          </cell>
        </row>
        <row r="23">
          <cell r="F23" t="str">
            <v>DE450-SDR51</v>
          </cell>
          <cell r="G23">
            <v>12.4</v>
          </cell>
          <cell r="H23">
            <v>25.106810699588479</v>
          </cell>
          <cell r="I23">
            <v>27.115355555555553</v>
          </cell>
          <cell r="J23">
            <v>28.263095473251031</v>
          </cell>
          <cell r="K23">
            <v>27.76998312236287</v>
          </cell>
          <cell r="L23">
            <v>29.96235021097046</v>
          </cell>
          <cell r="M23">
            <v>29.96235021097046</v>
          </cell>
          <cell r="N23">
            <v>32.15471729957806</v>
          </cell>
        </row>
        <row r="24">
          <cell r="F24" t="str">
            <v>DE500-SDR51</v>
          </cell>
          <cell r="G24">
            <v>15.4</v>
          </cell>
          <cell r="H24">
            <v>31.181039094650206</v>
          </cell>
          <cell r="I24">
            <v>33.67552222222222</v>
          </cell>
          <cell r="J24">
            <v>35.100941152263374</v>
          </cell>
          <cell r="K24">
            <v>34.488527426160339</v>
          </cell>
          <cell r="L24">
            <v>37.211305907172992</v>
          </cell>
          <cell r="M24">
            <v>37.211305907172992</v>
          </cell>
          <cell r="N24">
            <v>39.934084388185653</v>
          </cell>
        </row>
        <row r="25">
          <cell r="F25" t="str">
            <v>DE560-SDR51</v>
          </cell>
          <cell r="G25">
            <v>19.3</v>
          </cell>
          <cell r="H25">
            <v>39.077536008230453</v>
          </cell>
          <cell r="I25">
            <v>42.203738888888886</v>
          </cell>
          <cell r="J25">
            <v>43.990140534979425</v>
          </cell>
          <cell r="K25">
            <v>43.222635021097048</v>
          </cell>
          <cell r="L25">
            <v>46.634948312236283</v>
          </cell>
          <cell r="M25">
            <v>46.634948312236283</v>
          </cell>
          <cell r="N25">
            <v>50.047261603375532</v>
          </cell>
        </row>
        <row r="26">
          <cell r="F26" t="str">
            <v>DE630-SDR51</v>
          </cell>
          <cell r="G26">
            <v>24.3</v>
          </cell>
          <cell r="H26">
            <v>49.201250000000002</v>
          </cell>
          <cell r="I26">
            <v>53.137349999999998</v>
          </cell>
          <cell r="J26">
            <v>55.38655</v>
          </cell>
          <cell r="K26">
            <v>54.420208860759494</v>
          </cell>
          <cell r="L26">
            <v>58.716541139240498</v>
          </cell>
          <cell r="M26">
            <v>58.716541139240498</v>
          </cell>
          <cell r="N26">
            <v>63.012873417721522</v>
          </cell>
        </row>
        <row r="27">
          <cell r="F27" t="str">
            <v>DE710-SDR51</v>
          </cell>
          <cell r="G27">
            <v>30.8</v>
          </cell>
          <cell r="H27">
            <v>62.362078189300412</v>
          </cell>
          <cell r="I27">
            <v>67.35104444444444</v>
          </cell>
          <cell r="J27">
            <v>70.201882304526748</v>
          </cell>
          <cell r="K27">
            <v>68.977054852320677</v>
          </cell>
          <cell r="L27">
            <v>74.422611814345984</v>
          </cell>
          <cell r="M27">
            <v>74.422611814345984</v>
          </cell>
          <cell r="N27">
            <v>79.868168776371306</v>
          </cell>
        </row>
        <row r="28">
          <cell r="F28" t="str">
            <v>DE800-SDR51</v>
          </cell>
          <cell r="G28">
            <v>39.200000000000003</v>
          </cell>
          <cell r="H28">
            <v>79.369917695473262</v>
          </cell>
          <cell r="I28">
            <v>85.719511111111103</v>
          </cell>
          <cell r="J28">
            <v>89.347850205761318</v>
          </cell>
          <cell r="K28">
            <v>87.788978902953588</v>
          </cell>
          <cell r="L28">
            <v>94.719687763713068</v>
          </cell>
          <cell r="M28">
            <v>94.719687763713068</v>
          </cell>
          <cell r="N28">
            <v>101.65039662447258</v>
          </cell>
        </row>
        <row r="29">
          <cell r="F29" t="str">
            <v>DE900-SDR51</v>
          </cell>
          <cell r="G29">
            <v>49.4</v>
          </cell>
          <cell r="H29">
            <v>100.02229423868313</v>
          </cell>
          <cell r="I29">
            <v>108.02407777777776</v>
          </cell>
          <cell r="J29">
            <v>112.59652551440328</v>
          </cell>
          <cell r="K29">
            <v>110.63202953586497</v>
          </cell>
          <cell r="L29">
            <v>119.36613713080166</v>
          </cell>
          <cell r="M29">
            <v>119.36613713080166</v>
          </cell>
          <cell r="N29">
            <v>128.10024472573841</v>
          </cell>
        </row>
        <row r="30">
          <cell r="F30" t="str">
            <v>DE1000-SDR51</v>
          </cell>
          <cell r="G30">
            <v>61.1</v>
          </cell>
          <cell r="H30">
            <v>123.71178497942387</v>
          </cell>
          <cell r="I30">
            <v>133.60872777777777</v>
          </cell>
          <cell r="J30">
            <v>139.26412366255144</v>
          </cell>
          <cell r="K30">
            <v>136.83435232067509</v>
          </cell>
          <cell r="L30">
            <v>147.63706434599155</v>
          </cell>
          <cell r="M30">
            <v>147.63706434599155</v>
          </cell>
          <cell r="N30">
            <v>158.43977637130803</v>
          </cell>
        </row>
        <row r="31">
          <cell r="F31" t="str">
            <v>DE1200-SDR51</v>
          </cell>
          <cell r="G31">
            <v>87.9</v>
          </cell>
          <cell r="H31">
            <v>177.97489197530865</v>
          </cell>
          <cell r="I31">
            <v>192.21288333333334</v>
          </cell>
          <cell r="J31">
            <v>200.34887839506175</v>
          </cell>
          <cell r="K31">
            <v>196.85334810126582</v>
          </cell>
          <cell r="L31">
            <v>212.39440189873415</v>
          </cell>
          <cell r="M31">
            <v>212.39440189873415</v>
          </cell>
          <cell r="N31">
            <v>227.93545569620255</v>
          </cell>
        </row>
        <row r="32">
          <cell r="F32" t="str">
            <v>DE63-SDR41</v>
          </cell>
          <cell r="G32">
            <v>0.36799999999999999</v>
          </cell>
          <cell r="H32">
            <v>0.7451053497942387</v>
          </cell>
          <cell r="I32">
            <v>0.80471377777777764</v>
          </cell>
          <cell r="J32">
            <v>0.83877573662551441</v>
          </cell>
          <cell r="K32">
            <v>0.82414143459915612</v>
          </cell>
          <cell r="L32">
            <v>0.88920523206751034</v>
          </cell>
          <cell r="M32">
            <v>0.88920523206751034</v>
          </cell>
          <cell r="N32">
            <v>0.95426902953586501</v>
          </cell>
        </row>
        <row r="33">
          <cell r="F33" t="str">
            <v>DE75-SDR41</v>
          </cell>
          <cell r="G33">
            <v>0.46200000000000002</v>
          </cell>
          <cell r="H33">
            <v>0.93543117283950616</v>
          </cell>
          <cell r="I33">
            <v>1.0102656666666665</v>
          </cell>
          <cell r="J33">
            <v>1.0530282345679012</v>
          </cell>
          <cell r="K33">
            <v>1.0346558227848102</v>
          </cell>
          <cell r="L33">
            <v>1.1163391772151898</v>
          </cell>
          <cell r="M33">
            <v>1.1163391772151898</v>
          </cell>
          <cell r="N33">
            <v>1.1980225316455697</v>
          </cell>
        </row>
        <row r="34">
          <cell r="F34" t="str">
            <v>DE90-SDR41</v>
          </cell>
          <cell r="G34">
            <v>0.64700000000000002</v>
          </cell>
          <cell r="H34">
            <v>1.3100085905349794</v>
          </cell>
          <cell r="I34">
            <v>1.4148092777777777</v>
          </cell>
          <cell r="J34">
            <v>1.4746953847736626</v>
          </cell>
          <cell r="K34">
            <v>1.4489660548523207</v>
          </cell>
          <cell r="L34">
            <v>1.5633581118143458</v>
          </cell>
          <cell r="M34">
            <v>1.5633581118143458</v>
          </cell>
          <cell r="N34">
            <v>1.6777501687763714</v>
          </cell>
        </row>
        <row r="35">
          <cell r="F35" t="str">
            <v>DE110-SDR41</v>
          </cell>
          <cell r="G35">
            <v>0.95199999999999996</v>
          </cell>
          <cell r="H35">
            <v>1.9275551440329217</v>
          </cell>
          <cell r="I35">
            <v>2.0817595555555553</v>
          </cell>
          <cell r="J35">
            <v>2.1698763621399175</v>
          </cell>
          <cell r="K35">
            <v>2.1320180590717297</v>
          </cell>
          <cell r="L35">
            <v>2.3003352742616028</v>
          </cell>
          <cell r="M35">
            <v>2.3003352742616028</v>
          </cell>
          <cell r="N35">
            <v>2.4686524894514768</v>
          </cell>
        </row>
        <row r="36">
          <cell r="F36" t="str">
            <v>DE125-SDR41</v>
          </cell>
          <cell r="G36">
            <v>1.25</v>
          </cell>
          <cell r="H36">
            <v>2.5309284979423867</v>
          </cell>
          <cell r="I36">
            <v>2.7334027777777776</v>
          </cell>
          <cell r="J36">
            <v>2.8491023662551438</v>
          </cell>
          <cell r="K36">
            <v>2.7993934599156116</v>
          </cell>
          <cell r="L36">
            <v>3.0203982067510542</v>
          </cell>
          <cell r="M36">
            <v>3.0203982067510542</v>
          </cell>
          <cell r="N36">
            <v>3.2414029535864981</v>
          </cell>
        </row>
        <row r="37">
          <cell r="F37" t="str">
            <v>DE140-SDR41</v>
          </cell>
          <cell r="G37">
            <v>1.56</v>
          </cell>
          <cell r="H37">
            <v>3.1585987654320991</v>
          </cell>
          <cell r="I37">
            <v>3.4112866666666664</v>
          </cell>
          <cell r="J37">
            <v>3.5556797530864199</v>
          </cell>
          <cell r="K37">
            <v>3.4936430379746835</v>
          </cell>
          <cell r="L37">
            <v>3.7694569620253158</v>
          </cell>
          <cell r="M37">
            <v>3.7694569620253158</v>
          </cell>
          <cell r="N37">
            <v>4.0452708860759499</v>
          </cell>
        </row>
        <row r="38">
          <cell r="F38" t="str">
            <v>DE160-SDR41</v>
          </cell>
          <cell r="G38">
            <v>2.02</v>
          </cell>
          <cell r="H38">
            <v>4.0899804526748973</v>
          </cell>
          <cell r="I38">
            <v>4.4171788888888885</v>
          </cell>
          <cell r="J38">
            <v>4.6041494238683125</v>
          </cell>
          <cell r="K38">
            <v>4.5238198312236282</v>
          </cell>
          <cell r="L38">
            <v>4.8809635021097035</v>
          </cell>
          <cell r="M38">
            <v>4.8809635021097035</v>
          </cell>
          <cell r="N38">
            <v>5.2381071729957807</v>
          </cell>
        </row>
        <row r="39">
          <cell r="F39" t="str">
            <v>DE180-SDR41</v>
          </cell>
          <cell r="G39">
            <v>2.5099999999999998</v>
          </cell>
          <cell r="H39">
            <v>5.0821044238683122</v>
          </cell>
          <cell r="I39">
            <v>5.4886727777777766</v>
          </cell>
          <cell r="J39">
            <v>5.7209975514403286</v>
          </cell>
          <cell r="K39">
            <v>5.6211820675105475</v>
          </cell>
          <cell r="L39">
            <v>6.0649595991561167</v>
          </cell>
          <cell r="M39">
            <v>6.0649595991561167</v>
          </cell>
          <cell r="N39">
            <v>6.5087371308016877</v>
          </cell>
        </row>
        <row r="40">
          <cell r="F40" t="str">
            <v>DE200-SDR41</v>
          </cell>
          <cell r="G40">
            <v>3.08</v>
          </cell>
          <cell r="H40">
            <v>6.2362078189300414</v>
          </cell>
          <cell r="I40">
            <v>6.7351044444444437</v>
          </cell>
          <cell r="J40">
            <v>7.0201882304526748</v>
          </cell>
          <cell r="K40">
            <v>6.8977054852320672</v>
          </cell>
          <cell r="L40">
            <v>7.4422611814345982</v>
          </cell>
          <cell r="M40">
            <v>7.4422611814345982</v>
          </cell>
          <cell r="N40">
            <v>7.9868168776371311</v>
          </cell>
        </row>
        <row r="41">
          <cell r="F41" t="str">
            <v>DE225-SDR41</v>
          </cell>
          <cell r="G41">
            <v>3.9</v>
          </cell>
          <cell r="H41">
            <v>7.896496913580247</v>
          </cell>
          <cell r="I41">
            <v>8.5282166666666654</v>
          </cell>
          <cell r="J41">
            <v>8.8891993827160487</v>
          </cell>
          <cell r="K41">
            <v>8.7341075949367077</v>
          </cell>
          <cell r="L41">
            <v>9.4236424050632888</v>
          </cell>
          <cell r="M41">
            <v>9.4236424050632888</v>
          </cell>
          <cell r="N41">
            <v>10.113177215189873</v>
          </cell>
        </row>
        <row r="42">
          <cell r="F42" t="str">
            <v>DE250-SDR41</v>
          </cell>
          <cell r="G42">
            <v>4.88</v>
          </cell>
          <cell r="H42">
            <v>9.8807448559670785</v>
          </cell>
          <cell r="I42">
            <v>10.671204444444443</v>
          </cell>
          <cell r="J42">
            <v>11.122895637860083</v>
          </cell>
          <cell r="K42">
            <v>10.928832067510548</v>
          </cell>
          <cell r="L42">
            <v>11.791634599156115</v>
          </cell>
          <cell r="M42">
            <v>11.791634599156115</v>
          </cell>
          <cell r="N42">
            <v>12.654437130801687</v>
          </cell>
        </row>
        <row r="43">
          <cell r="F43" t="str">
            <v>DE280-SDR41</v>
          </cell>
          <cell r="G43">
            <v>6.04</v>
          </cell>
          <cell r="H43">
            <v>12.229446502057613</v>
          </cell>
          <cell r="I43">
            <v>13.20780222222222</v>
          </cell>
          <cell r="J43">
            <v>13.766862633744855</v>
          </cell>
          <cell r="K43">
            <v>13.526669198312236</v>
          </cell>
          <cell r="L43">
            <v>14.594564135021095</v>
          </cell>
          <cell r="M43">
            <v>14.594564135021095</v>
          </cell>
          <cell r="N43">
            <v>15.662459071729959</v>
          </cell>
        </row>
        <row r="44">
          <cell r="F44" t="str">
            <v>DE315-SDR41</v>
          </cell>
          <cell r="G44">
            <v>7.59</v>
          </cell>
          <cell r="H44">
            <v>15.367797839506173</v>
          </cell>
          <cell r="I44">
            <v>16.597221666666666</v>
          </cell>
          <cell r="J44">
            <v>17.299749567901234</v>
          </cell>
          <cell r="K44">
            <v>16.997917088607593</v>
          </cell>
          <cell r="L44">
            <v>18.3398579113924</v>
          </cell>
          <cell r="M44">
            <v>18.3398579113924</v>
          </cell>
          <cell r="N44">
            <v>19.681798734177214</v>
          </cell>
        </row>
        <row r="45">
          <cell r="F45" t="str">
            <v>DE355-SDR41</v>
          </cell>
          <cell r="G45">
            <v>9.65</v>
          </cell>
          <cell r="H45">
            <v>19.538768004115227</v>
          </cell>
          <cell r="I45">
            <v>21.101869444444443</v>
          </cell>
          <cell r="J45">
            <v>21.995070267489712</v>
          </cell>
          <cell r="K45">
            <v>21.611317510548524</v>
          </cell>
          <cell r="L45">
            <v>23.317474156118141</v>
          </cell>
          <cell r="M45">
            <v>23.317474156118141</v>
          </cell>
          <cell r="N45">
            <v>25.023630801687766</v>
          </cell>
        </row>
        <row r="46">
          <cell r="F46" t="str">
            <v>DE400-SDR41</v>
          </cell>
          <cell r="G46">
            <v>12.2</v>
          </cell>
          <cell r="H46">
            <v>24.701862139917694</v>
          </cell>
          <cell r="I46">
            <v>26.678011111111108</v>
          </cell>
          <cell r="J46">
            <v>27.807239094650203</v>
          </cell>
          <cell r="K46">
            <v>27.32208016877637</v>
          </cell>
          <cell r="L46">
            <v>29.47908649789029</v>
          </cell>
          <cell r="M46">
            <v>29.47908649789029</v>
          </cell>
          <cell r="N46">
            <v>31.636092827004219</v>
          </cell>
        </row>
        <row r="47">
          <cell r="F47" t="str">
            <v>DE450-SDR41</v>
          </cell>
          <cell r="G47">
            <v>15.4</v>
          </cell>
          <cell r="H47">
            <v>31.181039094650206</v>
          </cell>
          <cell r="I47">
            <v>33.67552222222222</v>
          </cell>
          <cell r="J47">
            <v>35.100941152263374</v>
          </cell>
          <cell r="K47">
            <v>34.488527426160339</v>
          </cell>
          <cell r="L47">
            <v>37.211305907172992</v>
          </cell>
          <cell r="M47">
            <v>37.211305907172992</v>
          </cell>
          <cell r="N47">
            <v>39.934084388185653</v>
          </cell>
        </row>
        <row r="48">
          <cell r="F48" t="str">
            <v>DE500-SDR41</v>
          </cell>
          <cell r="G48">
            <v>19.2</v>
          </cell>
          <cell r="H48">
            <v>38.87506172839506</v>
          </cell>
          <cell r="I48">
            <v>41.985066666666661</v>
          </cell>
          <cell r="J48">
            <v>43.762212345679011</v>
          </cell>
          <cell r="K48">
            <v>42.998683544303795</v>
          </cell>
          <cell r="L48">
            <v>46.393316455696194</v>
          </cell>
          <cell r="M48">
            <v>46.393316455696194</v>
          </cell>
          <cell r="N48">
            <v>49.787949367088608</v>
          </cell>
        </row>
        <row r="49">
          <cell r="F49" t="str">
            <v>DE560-SDR41</v>
          </cell>
          <cell r="G49">
            <v>23.9</v>
          </cell>
          <cell r="H49">
            <v>48.391352880658431</v>
          </cell>
          <cell r="I49">
            <v>52.2626611111111</v>
          </cell>
          <cell r="J49">
            <v>54.474837242798351</v>
          </cell>
          <cell r="K49">
            <v>53.524402953586495</v>
          </cell>
          <cell r="L49">
            <v>57.750013713080158</v>
          </cell>
          <cell r="M49">
            <v>57.750013713080158</v>
          </cell>
          <cell r="N49">
            <v>61.975624472573841</v>
          </cell>
        </row>
        <row r="50">
          <cell r="F50" t="str">
            <v>DE630-SDR41</v>
          </cell>
          <cell r="G50">
            <v>30.2</v>
          </cell>
          <cell r="H50">
            <v>61.147232510288063</v>
          </cell>
          <cell r="I50">
            <v>66.039011111111108</v>
          </cell>
          <cell r="J50">
            <v>68.834313168724279</v>
          </cell>
          <cell r="K50">
            <v>67.633345991561171</v>
          </cell>
          <cell r="L50">
            <v>72.972820675105467</v>
          </cell>
          <cell r="M50">
            <v>72.972820675105467</v>
          </cell>
          <cell r="N50">
            <v>78.312295358649791</v>
          </cell>
        </row>
        <row r="51">
          <cell r="F51" t="str">
            <v>DE710-SDR41</v>
          </cell>
          <cell r="G51">
            <v>38.4</v>
          </cell>
          <cell r="H51">
            <v>77.750123456790121</v>
          </cell>
          <cell r="I51">
            <v>83.970133333333322</v>
          </cell>
          <cell r="J51">
            <v>87.524424691358021</v>
          </cell>
          <cell r="K51">
            <v>85.997367088607589</v>
          </cell>
          <cell r="L51">
            <v>92.786632911392388</v>
          </cell>
          <cell r="M51">
            <v>92.786632911392388</v>
          </cell>
          <cell r="N51">
            <v>99.575898734177215</v>
          </cell>
        </row>
        <row r="52">
          <cell r="F52" t="str">
            <v>DE800-SDR41</v>
          </cell>
          <cell r="G52">
            <v>48.7</v>
          </cell>
          <cell r="H52">
            <v>98.604974279835403</v>
          </cell>
          <cell r="I52">
            <v>106.49337222222222</v>
          </cell>
          <cell r="J52">
            <v>111.00102818930041</v>
          </cell>
          <cell r="K52">
            <v>109.06436919831224</v>
          </cell>
          <cell r="L52">
            <v>117.67471413502108</v>
          </cell>
          <cell r="M52">
            <v>117.67471413502108</v>
          </cell>
          <cell r="N52">
            <v>126.28505907172998</v>
          </cell>
        </row>
        <row r="53">
          <cell r="F53" t="str">
            <v>DE900-SDR41</v>
          </cell>
          <cell r="G53">
            <v>61.3</v>
          </cell>
          <cell r="H53">
            <v>124.11673353909464</v>
          </cell>
          <cell r="I53">
            <v>134.04607222222219</v>
          </cell>
          <cell r="J53">
            <v>139.71998004115227</v>
          </cell>
          <cell r="K53">
            <v>137.28225527426159</v>
          </cell>
          <cell r="L53">
            <v>148.12032805907171</v>
          </cell>
          <cell r="M53">
            <v>148.12032805907171</v>
          </cell>
          <cell r="N53">
            <v>158.95840084388186</v>
          </cell>
        </row>
        <row r="54">
          <cell r="F54" t="str">
            <v>DE1000-SDR41</v>
          </cell>
          <cell r="G54">
            <v>75.900000000000006</v>
          </cell>
          <cell r="H54">
            <v>153.67797839506173</v>
          </cell>
          <cell r="I54">
            <v>165.97221666666667</v>
          </cell>
          <cell r="J54">
            <v>172.99749567901236</v>
          </cell>
          <cell r="K54">
            <v>169.97917088607596</v>
          </cell>
          <cell r="L54">
            <v>183.39857911392403</v>
          </cell>
          <cell r="M54">
            <v>183.39857911392403</v>
          </cell>
          <cell r="N54">
            <v>196.81798734177218</v>
          </cell>
        </row>
        <row r="55">
          <cell r="F55" t="str">
            <v>DE1200-SDR41</v>
          </cell>
          <cell r="G55">
            <v>109</v>
          </cell>
          <cell r="H55">
            <v>220.69696502057613</v>
          </cell>
          <cell r="I55">
            <v>238.35272222222221</v>
          </cell>
          <cell r="J55">
            <v>248.44172633744856</v>
          </cell>
          <cell r="K55">
            <v>244.10710970464135</v>
          </cell>
          <cell r="L55">
            <v>263.37872362869194</v>
          </cell>
          <cell r="M55">
            <v>263.37872362869194</v>
          </cell>
          <cell r="N55">
            <v>282.6503375527426</v>
          </cell>
        </row>
        <row r="56">
          <cell r="F56" t="str">
            <v>DE50-SDR33</v>
          </cell>
          <cell r="G56">
            <v>0.28999999999999998</v>
          </cell>
          <cell r="H56">
            <v>0.58717541152263375</v>
          </cell>
          <cell r="I56">
            <v>0.63414944444444432</v>
          </cell>
          <cell r="J56">
            <v>0.66099174897119339</v>
          </cell>
          <cell r="K56">
            <v>0.64945928270042186</v>
          </cell>
          <cell r="L56">
            <v>0.7007323839662446</v>
          </cell>
          <cell r="M56">
            <v>0.7007323839662446</v>
          </cell>
          <cell r="N56">
            <v>0.75200548523206745</v>
          </cell>
        </row>
        <row r="57">
          <cell r="F57" t="str">
            <v>DE63-SDR33</v>
          </cell>
          <cell r="G57">
            <v>0.40300000000000002</v>
          </cell>
          <cell r="H57">
            <v>0.81597134773662561</v>
          </cell>
          <cell r="I57">
            <v>0.88124905555555555</v>
          </cell>
          <cell r="J57">
            <v>0.91855060288065848</v>
          </cell>
          <cell r="K57">
            <v>0.90252445147679328</v>
          </cell>
          <cell r="L57">
            <v>0.97377638185653992</v>
          </cell>
          <cell r="M57">
            <v>0.97377638185653992</v>
          </cell>
          <cell r="N57">
            <v>1.0450283122362871</v>
          </cell>
        </row>
        <row r="58">
          <cell r="F58" t="str">
            <v>DE75-SDR33</v>
          </cell>
          <cell r="G58">
            <v>0.55700000000000005</v>
          </cell>
          <cell r="H58">
            <v>1.1277817386831277</v>
          </cell>
          <cell r="I58">
            <v>1.2180042777777778</v>
          </cell>
          <cell r="J58">
            <v>1.2695600144032924</v>
          </cell>
          <cell r="K58">
            <v>1.2474097257383967</v>
          </cell>
          <cell r="L58">
            <v>1.34588944092827</v>
          </cell>
          <cell r="M58">
            <v>1.34588944092827</v>
          </cell>
          <cell r="N58">
            <v>1.4443691561181435</v>
          </cell>
        </row>
        <row r="59">
          <cell r="F59" t="str">
            <v>DE90-SDR33</v>
          </cell>
          <cell r="G59">
            <v>0.8</v>
          </cell>
          <cell r="H59">
            <v>1.6197942386831277</v>
          </cell>
          <cell r="I59">
            <v>1.7493777777777777</v>
          </cell>
          <cell r="J59">
            <v>1.8234255144032923</v>
          </cell>
          <cell r="K59">
            <v>1.7916118143459916</v>
          </cell>
          <cell r="L59">
            <v>1.9330548523206748</v>
          </cell>
          <cell r="M59">
            <v>1.9330548523206748</v>
          </cell>
          <cell r="N59">
            <v>2.0744978902953588</v>
          </cell>
        </row>
        <row r="60">
          <cell r="F60" t="str">
            <v>DE110-SDR33</v>
          </cell>
          <cell r="G60">
            <v>1.19</v>
          </cell>
          <cell r="H60">
            <v>2.4094439300411521</v>
          </cell>
          <cell r="I60">
            <v>2.6021994444444441</v>
          </cell>
          <cell r="J60">
            <v>2.7123454526748971</v>
          </cell>
          <cell r="K60">
            <v>2.6650225738396625</v>
          </cell>
          <cell r="L60">
            <v>2.8754190928270034</v>
          </cell>
          <cell r="M60">
            <v>2.8754190928270034</v>
          </cell>
          <cell r="N60">
            <v>3.085815611814346</v>
          </cell>
        </row>
        <row r="61">
          <cell r="F61" t="str">
            <v>DE125-SDR33</v>
          </cell>
          <cell r="G61">
            <v>1.53</v>
          </cell>
          <cell r="H61">
            <v>3.0978564814814815</v>
          </cell>
          <cell r="I61">
            <v>3.3456849999999996</v>
          </cell>
          <cell r="J61">
            <v>3.4873012962962964</v>
          </cell>
          <cell r="K61">
            <v>3.4264575949367089</v>
          </cell>
          <cell r="L61">
            <v>3.6969674050632904</v>
          </cell>
          <cell r="M61">
            <v>3.6969674050632904</v>
          </cell>
          <cell r="N61">
            <v>3.9674772151898736</v>
          </cell>
        </row>
        <row r="62">
          <cell r="F62" t="str">
            <v>DE140-SDR33</v>
          </cell>
          <cell r="G62">
            <v>1.9</v>
          </cell>
          <cell r="H62">
            <v>3.8470113168724276</v>
          </cell>
          <cell r="I62">
            <v>4.1547722222222214</v>
          </cell>
          <cell r="J62">
            <v>4.3306355967078183</v>
          </cell>
          <cell r="K62">
            <v>4.2550780590717299</v>
          </cell>
          <cell r="L62">
            <v>4.5910052742616028</v>
          </cell>
          <cell r="M62">
            <v>4.5910052742616028</v>
          </cell>
          <cell r="N62">
            <v>4.9269324894514765</v>
          </cell>
        </row>
        <row r="63">
          <cell r="F63" t="str">
            <v>DE160-SDR33</v>
          </cell>
          <cell r="G63">
            <v>2.4500000000000002</v>
          </cell>
          <cell r="H63">
            <v>4.9606198559670789</v>
          </cell>
          <cell r="I63">
            <v>5.357469444444444</v>
          </cell>
          <cell r="J63">
            <v>5.5842406378600824</v>
          </cell>
          <cell r="K63">
            <v>5.4868111814345992</v>
          </cell>
          <cell r="L63">
            <v>5.9199804852320668</v>
          </cell>
          <cell r="M63">
            <v>5.9199804852320668</v>
          </cell>
          <cell r="N63">
            <v>6.3531497890295361</v>
          </cell>
        </row>
        <row r="64">
          <cell r="F64" t="str">
            <v>DE180-SDR33</v>
          </cell>
          <cell r="G64">
            <v>3.1</v>
          </cell>
          <cell r="H64">
            <v>6.2767026748971197</v>
          </cell>
          <cell r="I64">
            <v>6.7788388888888882</v>
          </cell>
          <cell r="J64">
            <v>7.0657738683127578</v>
          </cell>
          <cell r="K64">
            <v>6.9424957805907175</v>
          </cell>
          <cell r="L64">
            <v>7.4905875527426149</v>
          </cell>
          <cell r="M64">
            <v>7.4905875527426149</v>
          </cell>
          <cell r="N64">
            <v>8.038679324894515</v>
          </cell>
        </row>
        <row r="65">
          <cell r="F65" t="str">
            <v>DE200-SDR33</v>
          </cell>
          <cell r="G65">
            <v>3.88</v>
          </cell>
          <cell r="H65">
            <v>7.8560020576131686</v>
          </cell>
          <cell r="I65">
            <v>8.4844822222222209</v>
          </cell>
          <cell r="J65">
            <v>8.8436137448559666</v>
          </cell>
          <cell r="K65">
            <v>8.6893172995780592</v>
          </cell>
          <cell r="L65">
            <v>9.3753160337552721</v>
          </cell>
          <cell r="M65">
            <v>9.3753160337552721</v>
          </cell>
          <cell r="N65">
            <v>10.06131476793249</v>
          </cell>
        </row>
        <row r="66">
          <cell r="F66" t="str">
            <v>DE225-SDR33</v>
          </cell>
          <cell r="G66">
            <v>4.82</v>
          </cell>
          <cell r="H66">
            <v>9.7592602880658443</v>
          </cell>
          <cell r="I66">
            <v>10.540001111111112</v>
          </cell>
          <cell r="J66">
            <v>10.986138724279837</v>
          </cell>
          <cell r="K66">
            <v>10.794461181434599</v>
          </cell>
          <cell r="L66">
            <v>11.646655485232067</v>
          </cell>
          <cell r="M66">
            <v>11.646655485232067</v>
          </cell>
          <cell r="N66">
            <v>12.498849789029537</v>
          </cell>
        </row>
        <row r="67">
          <cell r="F67" t="str">
            <v>DE250-SDR33</v>
          </cell>
          <cell r="G67">
            <v>5.98</v>
          </cell>
          <cell r="H67">
            <v>12.10796193415638</v>
          </cell>
          <cell r="I67">
            <v>13.076598888888888</v>
          </cell>
          <cell r="J67">
            <v>13.630105720164609</v>
          </cell>
          <cell r="K67">
            <v>13.392298312236287</v>
          </cell>
          <cell r="L67">
            <v>14.449585021097045</v>
          </cell>
          <cell r="M67">
            <v>14.449585021097045</v>
          </cell>
          <cell r="N67">
            <v>15.506871729957808</v>
          </cell>
        </row>
        <row r="68">
          <cell r="F68" t="str">
            <v>DE280-SDR33</v>
          </cell>
          <cell r="G68">
            <v>7.47</v>
          </cell>
          <cell r="H68">
            <v>15.124828703703702</v>
          </cell>
          <cell r="I68">
            <v>16.334814999999999</v>
          </cell>
          <cell r="J68">
            <v>17.026235740740741</v>
          </cell>
          <cell r="K68">
            <v>16.729175316455695</v>
          </cell>
          <cell r="L68">
            <v>18.0498996835443</v>
          </cell>
          <cell r="M68">
            <v>18.0498996835443</v>
          </cell>
          <cell r="N68">
            <v>19.370624050632912</v>
          </cell>
        </row>
        <row r="69">
          <cell r="F69" t="str">
            <v>DE315-SDR33</v>
          </cell>
          <cell r="G69">
            <v>9.4700000000000006</v>
          </cell>
          <cell r="H69">
            <v>19.174314300411524</v>
          </cell>
          <cell r="I69">
            <v>20.708259444444444</v>
          </cell>
          <cell r="J69">
            <v>21.584799526748974</v>
          </cell>
          <cell r="K69">
            <v>21.208204852320677</v>
          </cell>
          <cell r="L69">
            <v>22.88253681434599</v>
          </cell>
          <cell r="M69">
            <v>22.88253681434599</v>
          </cell>
          <cell r="N69">
            <v>24.55686877637131</v>
          </cell>
        </row>
        <row r="70">
          <cell r="F70" t="str">
            <v>DE355-SDR33</v>
          </cell>
          <cell r="G70">
            <v>12</v>
          </cell>
          <cell r="H70">
            <v>24.296913580246915</v>
          </cell>
          <cell r="I70">
            <v>26.240666666666662</v>
          </cell>
          <cell r="J70">
            <v>27.351382716049383</v>
          </cell>
          <cell r="K70">
            <v>26.874177215189874</v>
          </cell>
          <cell r="L70">
            <v>28.995822784810123</v>
          </cell>
          <cell r="M70">
            <v>28.995822784810123</v>
          </cell>
          <cell r="N70">
            <v>31.117468354430379</v>
          </cell>
        </row>
        <row r="71">
          <cell r="F71" t="str">
            <v>DE400-SDR33</v>
          </cell>
          <cell r="G71">
            <v>15.2</v>
          </cell>
          <cell r="H71">
            <v>30.776090534979421</v>
          </cell>
          <cell r="I71">
            <v>33.238177777777771</v>
          </cell>
          <cell r="J71">
            <v>34.645084773662546</v>
          </cell>
          <cell r="K71">
            <v>34.040624472573839</v>
          </cell>
          <cell r="L71">
            <v>36.728042194092822</v>
          </cell>
          <cell r="M71">
            <v>36.728042194092822</v>
          </cell>
          <cell r="N71">
            <v>39.415459915611812</v>
          </cell>
        </row>
        <row r="72">
          <cell r="F72" t="str">
            <v>DE450-SDR33</v>
          </cell>
          <cell r="G72">
            <v>19.2</v>
          </cell>
          <cell r="H72">
            <v>38.87506172839506</v>
          </cell>
          <cell r="I72">
            <v>41.985066666666661</v>
          </cell>
          <cell r="J72">
            <v>43.762212345679011</v>
          </cell>
          <cell r="K72">
            <v>42.998683544303795</v>
          </cell>
          <cell r="L72">
            <v>46.393316455696194</v>
          </cell>
          <cell r="M72">
            <v>46.393316455696194</v>
          </cell>
          <cell r="N72">
            <v>49.787949367088608</v>
          </cell>
        </row>
        <row r="73">
          <cell r="F73" t="str">
            <v>DE500-SDR33</v>
          </cell>
          <cell r="G73">
            <v>23.6</v>
          </cell>
          <cell r="H73">
            <v>47.783930041152267</v>
          </cell>
          <cell r="I73">
            <v>51.606644444444441</v>
          </cell>
          <cell r="J73">
            <v>53.791052674897124</v>
          </cell>
          <cell r="K73">
            <v>52.85254852320675</v>
          </cell>
          <cell r="L73">
            <v>57.025118143459906</v>
          </cell>
          <cell r="M73">
            <v>57.025118143459906</v>
          </cell>
          <cell r="N73">
            <v>61.197687763713084</v>
          </cell>
        </row>
        <row r="74">
          <cell r="F74" t="str">
            <v>DE560-SDR33</v>
          </cell>
          <cell r="G74">
            <v>29.7</v>
          </cell>
          <cell r="H74">
            <v>60.134861111111107</v>
          </cell>
          <cell r="I74">
            <v>64.945649999999986</v>
          </cell>
          <cell r="J74">
            <v>67.694672222222223</v>
          </cell>
          <cell r="K74">
            <v>66.51358860759494</v>
          </cell>
          <cell r="L74">
            <v>71.764661392405046</v>
          </cell>
          <cell r="M74">
            <v>71.764661392405046</v>
          </cell>
          <cell r="N74">
            <v>77.015734177215194</v>
          </cell>
        </row>
        <row r="75">
          <cell r="F75" t="str">
            <v>DE630-SDR33</v>
          </cell>
          <cell r="G75">
            <v>37.5</v>
          </cell>
          <cell r="H75">
            <v>75.927854938271608</v>
          </cell>
          <cell r="I75">
            <v>82.002083333333331</v>
          </cell>
          <cell r="J75">
            <v>85.473070987654324</v>
          </cell>
          <cell r="K75">
            <v>83.981803797468345</v>
          </cell>
          <cell r="L75">
            <v>90.611946202531627</v>
          </cell>
          <cell r="M75">
            <v>90.611946202531627</v>
          </cell>
          <cell r="N75">
            <v>97.242088607594937</v>
          </cell>
        </row>
        <row r="76">
          <cell r="F76" t="str">
            <v>DE710-SDR33</v>
          </cell>
          <cell r="G76">
            <v>47.7</v>
          </cell>
          <cell r="H76">
            <v>96.580231481481491</v>
          </cell>
          <cell r="I76">
            <v>104.30664999999999</v>
          </cell>
          <cell r="J76">
            <v>108.7217462962963</v>
          </cell>
          <cell r="K76">
            <v>106.82485443037974</v>
          </cell>
          <cell r="L76">
            <v>115.25839556962023</v>
          </cell>
          <cell r="M76">
            <v>115.25839556962023</v>
          </cell>
          <cell r="N76">
            <v>123.69193670886077</v>
          </cell>
        </row>
        <row r="77">
          <cell r="F77" t="str">
            <v>DE800-SDR33</v>
          </cell>
          <cell r="G77">
            <v>60.4</v>
          </cell>
          <cell r="H77">
            <v>122.29446502057613</v>
          </cell>
          <cell r="I77">
            <v>132.07802222222222</v>
          </cell>
          <cell r="J77">
            <v>137.66862633744856</v>
          </cell>
          <cell r="K77">
            <v>135.26669198312234</v>
          </cell>
          <cell r="L77">
            <v>145.94564135021093</v>
          </cell>
          <cell r="M77">
            <v>145.94564135021093</v>
          </cell>
          <cell r="N77">
            <v>156.62459071729958</v>
          </cell>
        </row>
        <row r="78">
          <cell r="F78" t="str">
            <v>DE900-SDR33</v>
          </cell>
          <cell r="G78">
            <v>76.400000000000006</v>
          </cell>
          <cell r="H78">
            <v>154.6903497942387</v>
          </cell>
          <cell r="I78">
            <v>167.06557777777778</v>
          </cell>
          <cell r="J78">
            <v>174.13713662551442</v>
          </cell>
          <cell r="K78">
            <v>171.09892827004219</v>
          </cell>
          <cell r="L78">
            <v>184.60673839662445</v>
          </cell>
          <cell r="M78">
            <v>184.60673839662445</v>
          </cell>
          <cell r="N78">
            <v>198.11454852320676</v>
          </cell>
        </row>
        <row r="79">
          <cell r="F79" t="str">
            <v>DE1000-SDR33</v>
          </cell>
          <cell r="G79">
            <v>94.1</v>
          </cell>
          <cell r="H79">
            <v>190.52829732510287</v>
          </cell>
          <cell r="I79">
            <v>205.77056111111108</v>
          </cell>
          <cell r="J79">
            <v>214.48042613168724</v>
          </cell>
          <cell r="K79">
            <v>210.73833966244723</v>
          </cell>
          <cell r="L79">
            <v>227.37557700421937</v>
          </cell>
          <cell r="M79">
            <v>227.37557700421937</v>
          </cell>
          <cell r="N79">
            <v>244.01281434599156</v>
          </cell>
        </row>
        <row r="80">
          <cell r="F80" t="str">
            <v>DE1200-SDR33</v>
          </cell>
          <cell r="G80">
            <v>135</v>
          </cell>
          <cell r="H80">
            <v>273.34027777777777</v>
          </cell>
          <cell r="I80">
            <v>295.20749999999998</v>
          </cell>
          <cell r="J80">
            <v>307.70305555555558</v>
          </cell>
          <cell r="K80">
            <v>302.33449367088605</v>
          </cell>
          <cell r="L80">
            <v>326.20300632911386</v>
          </cell>
          <cell r="M80">
            <v>326.20300632911386</v>
          </cell>
          <cell r="N80">
            <v>350.07151898734179</v>
          </cell>
        </row>
        <row r="81">
          <cell r="F81" t="str">
            <v>DE40-SDR26</v>
          </cell>
          <cell r="G81">
            <v>0.22900000000000001</v>
          </cell>
          <cell r="H81">
            <v>0.46366610082304527</v>
          </cell>
          <cell r="I81">
            <v>0.50075938888888882</v>
          </cell>
          <cell r="J81">
            <v>0.52195555349794243</v>
          </cell>
          <cell r="K81">
            <v>0.5128488818565401</v>
          </cell>
          <cell r="L81">
            <v>0.55333695147679318</v>
          </cell>
          <cell r="M81">
            <v>0.55333695147679318</v>
          </cell>
          <cell r="N81">
            <v>0.59382502109704649</v>
          </cell>
        </row>
        <row r="82">
          <cell r="F82" t="str">
            <v>DE50-SDR26</v>
          </cell>
          <cell r="G82">
            <v>0.317</v>
          </cell>
          <cell r="H82">
            <v>0.64184346707818929</v>
          </cell>
          <cell r="I82">
            <v>0.6931909444444444</v>
          </cell>
          <cell r="J82">
            <v>0.72253236008230448</v>
          </cell>
          <cell r="K82">
            <v>0.70992618143459918</v>
          </cell>
          <cell r="L82">
            <v>0.76597298523206736</v>
          </cell>
          <cell r="M82">
            <v>0.76597298523206736</v>
          </cell>
          <cell r="N82">
            <v>0.82201978902953587</v>
          </cell>
        </row>
        <row r="83">
          <cell r="F83" t="str">
            <v>DE63-SDR26</v>
          </cell>
          <cell r="G83">
            <v>0.5</v>
          </cell>
          <cell r="H83">
            <v>1.0123713991769547</v>
          </cell>
          <cell r="I83">
            <v>1.093361111111111</v>
          </cell>
          <cell r="J83">
            <v>1.1396409465020576</v>
          </cell>
          <cell r="K83">
            <v>1.1197573839662447</v>
          </cell>
          <cell r="L83">
            <v>1.2081592827004217</v>
          </cell>
          <cell r="M83">
            <v>1.2081592827004217</v>
          </cell>
          <cell r="N83">
            <v>1.2965611814345992</v>
          </cell>
        </row>
        <row r="84">
          <cell r="F84" t="str">
            <v>DE75-SDR26</v>
          </cell>
          <cell r="G84">
            <v>0.68300000000000005</v>
          </cell>
          <cell r="H84">
            <v>1.3828993312757203</v>
          </cell>
          <cell r="I84">
            <v>1.4935312777777778</v>
          </cell>
          <cell r="J84">
            <v>1.5567495329218108</v>
          </cell>
          <cell r="K84">
            <v>1.5295885864978904</v>
          </cell>
          <cell r="L84">
            <v>1.6503455801687763</v>
          </cell>
          <cell r="M84">
            <v>1.6503455801687763</v>
          </cell>
          <cell r="N84">
            <v>1.7711025738396626</v>
          </cell>
        </row>
        <row r="85">
          <cell r="F85" t="str">
            <v>DE90-SDR26</v>
          </cell>
          <cell r="G85">
            <v>0.98799999999999999</v>
          </cell>
          <cell r="H85">
            <v>2.0004458847736624</v>
          </cell>
          <cell r="I85">
            <v>2.1604815555555552</v>
          </cell>
          <cell r="J85">
            <v>2.2519305102880658</v>
          </cell>
          <cell r="K85">
            <v>2.2126405907172995</v>
          </cell>
          <cell r="L85">
            <v>2.3873227426160333</v>
          </cell>
          <cell r="M85">
            <v>2.3873227426160333</v>
          </cell>
          <cell r="N85">
            <v>2.562004894514768</v>
          </cell>
        </row>
        <row r="86">
          <cell r="F86" t="str">
            <v>DE110-SDR26</v>
          </cell>
          <cell r="G86">
            <v>1.45</v>
          </cell>
          <cell r="H86">
            <v>2.9358770576131685</v>
          </cell>
          <cell r="I86">
            <v>3.1707472222222219</v>
          </cell>
          <cell r="J86">
            <v>3.3049587448559667</v>
          </cell>
          <cell r="K86">
            <v>3.2472964135021094</v>
          </cell>
          <cell r="L86">
            <v>3.5036619198312229</v>
          </cell>
          <cell r="M86">
            <v>3.5036619198312229</v>
          </cell>
          <cell r="N86">
            <v>3.7600274261603377</v>
          </cell>
        </row>
        <row r="87">
          <cell r="F87" t="str">
            <v>DE125-SDR26</v>
          </cell>
          <cell r="G87">
            <v>1.86</v>
          </cell>
          <cell r="H87">
            <v>3.7660216049382718</v>
          </cell>
          <cell r="I87">
            <v>4.0673033333333333</v>
          </cell>
          <cell r="J87">
            <v>4.2394643209876541</v>
          </cell>
          <cell r="K87">
            <v>4.1654974683544301</v>
          </cell>
          <cell r="L87">
            <v>4.4943525316455695</v>
          </cell>
          <cell r="M87">
            <v>4.4943525316455695</v>
          </cell>
          <cell r="N87">
            <v>4.8232075949367097</v>
          </cell>
        </row>
        <row r="88">
          <cell r="F88" t="str">
            <v>DE140-SDR26</v>
          </cell>
          <cell r="G88">
            <v>2.35</v>
          </cell>
          <cell r="H88">
            <v>4.7581455761316871</v>
          </cell>
          <cell r="I88">
            <v>5.1387972222222222</v>
          </cell>
          <cell r="J88">
            <v>5.3563124485596711</v>
          </cell>
          <cell r="K88">
            <v>5.2628597046413503</v>
          </cell>
          <cell r="L88">
            <v>5.6783486286919826</v>
          </cell>
          <cell r="M88">
            <v>5.6783486286919826</v>
          </cell>
          <cell r="N88">
            <v>6.0938375527426167</v>
          </cell>
        </row>
        <row r="89">
          <cell r="F89" t="str">
            <v>DE160-SDR26</v>
          </cell>
          <cell r="G89">
            <v>3.08</v>
          </cell>
          <cell r="H89">
            <v>6.2362078189300414</v>
          </cell>
          <cell r="I89">
            <v>6.7351044444444437</v>
          </cell>
          <cell r="J89">
            <v>7.0201882304526748</v>
          </cell>
          <cell r="K89">
            <v>6.8977054852320672</v>
          </cell>
          <cell r="L89">
            <v>7.4422611814345982</v>
          </cell>
          <cell r="M89">
            <v>7.4422611814345982</v>
          </cell>
          <cell r="N89">
            <v>7.9868168776371311</v>
          </cell>
        </row>
        <row r="90">
          <cell r="F90" t="str">
            <v>DE180-SDR26</v>
          </cell>
          <cell r="G90">
            <v>3.83</v>
          </cell>
          <cell r="H90">
            <v>7.7547649176954732</v>
          </cell>
          <cell r="I90">
            <v>8.3751461111111105</v>
          </cell>
          <cell r="J90">
            <v>8.7296496502057614</v>
          </cell>
          <cell r="K90">
            <v>8.5773415611814343</v>
          </cell>
          <cell r="L90">
            <v>9.2545001054852314</v>
          </cell>
          <cell r="M90">
            <v>9.2545001054852314</v>
          </cell>
          <cell r="N90">
            <v>9.9316586497890302</v>
          </cell>
        </row>
        <row r="91">
          <cell r="F91" t="str">
            <v>DE200-SDR26</v>
          </cell>
          <cell r="G91">
            <v>4.74</v>
          </cell>
          <cell r="H91">
            <v>9.5972808641975309</v>
          </cell>
          <cell r="I91">
            <v>10.365063333333334</v>
          </cell>
          <cell r="J91">
            <v>10.803796172839506</v>
          </cell>
          <cell r="K91">
            <v>10.6153</v>
          </cell>
          <cell r="L91">
            <v>11.453349999999999</v>
          </cell>
          <cell r="M91">
            <v>11.453349999999999</v>
          </cell>
          <cell r="N91">
            <v>12.291400000000001</v>
          </cell>
        </row>
        <row r="92">
          <cell r="F92" t="str">
            <v>DE225-SDR26</v>
          </cell>
          <cell r="G92">
            <v>5.96</v>
          </cell>
          <cell r="H92">
            <v>12.067467078189301</v>
          </cell>
          <cell r="I92">
            <v>13.032864444444444</v>
          </cell>
          <cell r="J92">
            <v>13.584520082304527</v>
          </cell>
          <cell r="K92">
            <v>13.347508016877637</v>
          </cell>
          <cell r="L92">
            <v>14.401258649789026</v>
          </cell>
          <cell r="M92">
            <v>14.401258649789026</v>
          </cell>
          <cell r="N92">
            <v>15.455009282700422</v>
          </cell>
        </row>
        <row r="93">
          <cell r="F93" t="str">
            <v>DE250-SDR26</v>
          </cell>
          <cell r="G93">
            <v>7.38</v>
          </cell>
          <cell r="H93">
            <v>14.942601851851851</v>
          </cell>
          <cell r="I93">
            <v>16.138009999999998</v>
          </cell>
          <cell r="J93">
            <v>16.82110037037037</v>
          </cell>
          <cell r="K93">
            <v>16.527618987341771</v>
          </cell>
          <cell r="L93">
            <v>17.832431012658223</v>
          </cell>
          <cell r="M93">
            <v>17.832431012658223</v>
          </cell>
          <cell r="N93">
            <v>19.137243037974685</v>
          </cell>
        </row>
        <row r="94">
          <cell r="F94" t="str">
            <v>DE280-SDR26</v>
          </cell>
          <cell r="G94">
            <v>9.1999999999999993</v>
          </cell>
          <cell r="H94">
            <v>18.627633744855967</v>
          </cell>
          <cell r="I94">
            <v>20.11784444444444</v>
          </cell>
          <cell r="J94">
            <v>20.969393415637857</v>
          </cell>
          <cell r="K94">
            <v>20.603535864978902</v>
          </cell>
          <cell r="L94">
            <v>22.230130801687757</v>
          </cell>
          <cell r="M94">
            <v>22.230130801687757</v>
          </cell>
          <cell r="N94">
            <v>23.856725738396623</v>
          </cell>
        </row>
        <row r="95">
          <cell r="F95" t="str">
            <v>DE315-SDR26</v>
          </cell>
          <cell r="G95">
            <v>11.7</v>
          </cell>
          <cell r="H95">
            <v>23.689490740740741</v>
          </cell>
          <cell r="I95">
            <v>25.584649999999996</v>
          </cell>
          <cell r="J95">
            <v>26.667598148148148</v>
          </cell>
          <cell r="K95">
            <v>26.202322784810125</v>
          </cell>
          <cell r="L95">
            <v>28.270927215189868</v>
          </cell>
          <cell r="M95">
            <v>28.270927215189868</v>
          </cell>
          <cell r="N95">
            <v>30.339531645569618</v>
          </cell>
        </row>
        <row r="96">
          <cell r="F96" t="str">
            <v>DE355-SDR26</v>
          </cell>
          <cell r="G96">
            <v>14.8</v>
          </cell>
          <cell r="H96">
            <v>29.966193415637861</v>
          </cell>
          <cell r="I96">
            <v>32.363488888888888</v>
          </cell>
          <cell r="J96">
            <v>33.733372016460905</v>
          </cell>
          <cell r="K96">
            <v>33.144818565400847</v>
          </cell>
          <cell r="L96">
            <v>35.761514767932482</v>
          </cell>
          <cell r="M96">
            <v>35.761514767932482</v>
          </cell>
          <cell r="N96">
            <v>38.378210970464139</v>
          </cell>
        </row>
        <row r="97">
          <cell r="F97" t="str">
            <v>DE400-SDR26</v>
          </cell>
          <cell r="G97">
            <v>18.8</v>
          </cell>
          <cell r="H97">
            <v>38.065164609053497</v>
          </cell>
          <cell r="I97">
            <v>41.110377777777778</v>
          </cell>
          <cell r="J97">
            <v>42.850499588477369</v>
          </cell>
          <cell r="K97">
            <v>42.102877637130803</v>
          </cell>
          <cell r="L97">
            <v>45.426789029535861</v>
          </cell>
          <cell r="M97">
            <v>45.426789029535861</v>
          </cell>
          <cell r="N97">
            <v>48.750700421940934</v>
          </cell>
        </row>
        <row r="98">
          <cell r="F98" t="str">
            <v>DE450-SDR26</v>
          </cell>
          <cell r="G98">
            <v>23.7</v>
          </cell>
          <cell r="H98">
            <v>47.986404320987653</v>
          </cell>
          <cell r="I98">
            <v>51.825316666666659</v>
          </cell>
          <cell r="J98">
            <v>54.01898086419753</v>
          </cell>
          <cell r="K98">
            <v>53.076499999999996</v>
          </cell>
          <cell r="L98">
            <v>57.266749999999988</v>
          </cell>
          <cell r="M98">
            <v>57.266749999999988</v>
          </cell>
          <cell r="N98">
            <v>61.457000000000001</v>
          </cell>
        </row>
        <row r="99">
          <cell r="F99" t="str">
            <v>DE500-SDR26</v>
          </cell>
          <cell r="G99">
            <v>29.2</v>
          </cell>
          <cell r="H99">
            <v>59.122489711934158</v>
          </cell>
          <cell r="I99">
            <v>63.852288888888879</v>
          </cell>
          <cell r="J99">
            <v>66.555031275720168</v>
          </cell>
          <cell r="K99">
            <v>65.393831223628695</v>
          </cell>
          <cell r="L99">
            <v>70.556502109704624</v>
          </cell>
          <cell r="M99">
            <v>70.556502109704624</v>
          </cell>
          <cell r="N99">
            <v>75.719172995780596</v>
          </cell>
        </row>
        <row r="100">
          <cell r="F100" t="str">
            <v>DE560-SDR26</v>
          </cell>
          <cell r="G100">
            <v>36.6</v>
          </cell>
          <cell r="H100">
            <v>74.105586419753095</v>
          </cell>
          <cell r="I100">
            <v>80.034033333333326</v>
          </cell>
          <cell r="J100">
            <v>83.421717283950613</v>
          </cell>
          <cell r="K100">
            <v>81.966240506329115</v>
          </cell>
          <cell r="L100">
            <v>88.437259493670879</v>
          </cell>
          <cell r="M100">
            <v>88.437259493670879</v>
          </cell>
          <cell r="N100">
            <v>94.908278481012658</v>
          </cell>
        </row>
        <row r="101">
          <cell r="F101" t="str">
            <v>DE630-SDR26</v>
          </cell>
          <cell r="G101">
            <v>46.4</v>
          </cell>
          <cell r="H101">
            <v>93.948065843621393</v>
          </cell>
          <cell r="I101">
            <v>101.4639111111111</v>
          </cell>
          <cell r="J101">
            <v>105.75867983539094</v>
          </cell>
          <cell r="K101">
            <v>103.9134852320675</v>
          </cell>
          <cell r="L101">
            <v>112.11718143459913</v>
          </cell>
          <cell r="M101">
            <v>112.11718143459913</v>
          </cell>
          <cell r="N101">
            <v>120.32087763713081</v>
          </cell>
        </row>
        <row r="102">
          <cell r="F102" t="str">
            <v>DE710-SDR26</v>
          </cell>
          <cell r="G102">
            <v>59</v>
          </cell>
          <cell r="H102">
            <v>119.45982510288066</v>
          </cell>
          <cell r="I102">
            <v>129.0166111111111</v>
          </cell>
          <cell r="J102">
            <v>134.47763168724279</v>
          </cell>
          <cell r="K102">
            <v>132.13137130801687</v>
          </cell>
          <cell r="L102">
            <v>142.56279535864977</v>
          </cell>
          <cell r="M102">
            <v>142.56279535864977</v>
          </cell>
          <cell r="N102">
            <v>152.99421940928269</v>
          </cell>
        </row>
        <row r="103">
          <cell r="F103" t="str">
            <v>DE800-SDR26</v>
          </cell>
          <cell r="G103">
            <v>74.7</v>
          </cell>
          <cell r="H103">
            <v>151.24828703703704</v>
          </cell>
          <cell r="I103">
            <v>163.34815</v>
          </cell>
          <cell r="J103">
            <v>170.26235740740742</v>
          </cell>
          <cell r="K103">
            <v>167.29175316455695</v>
          </cell>
          <cell r="L103">
            <v>180.49899683544302</v>
          </cell>
          <cell r="M103">
            <v>180.49899683544302</v>
          </cell>
          <cell r="N103">
            <v>193.70624050632912</v>
          </cell>
        </row>
        <row r="104">
          <cell r="F104" t="str">
            <v>DE900-SDR26</v>
          </cell>
          <cell r="G104">
            <v>94.4</v>
          </cell>
          <cell r="H104">
            <v>191.13572016460907</v>
          </cell>
          <cell r="I104">
            <v>206.42657777777777</v>
          </cell>
          <cell r="J104">
            <v>215.16421069958849</v>
          </cell>
          <cell r="K104">
            <v>211.410194092827</v>
          </cell>
          <cell r="L104">
            <v>228.10047257383962</v>
          </cell>
          <cell r="M104">
            <v>228.10047257383962</v>
          </cell>
          <cell r="N104">
            <v>244.79075105485234</v>
          </cell>
        </row>
        <row r="105">
          <cell r="F105" t="str">
            <v>DE1000-SDR26</v>
          </cell>
          <cell r="G105">
            <v>117</v>
          </cell>
          <cell r="H105">
            <v>236.8949074074074</v>
          </cell>
          <cell r="I105">
            <v>255.84649999999996</v>
          </cell>
          <cell r="J105">
            <v>266.67598148148147</v>
          </cell>
          <cell r="K105">
            <v>262.02322784810127</v>
          </cell>
          <cell r="L105">
            <v>282.70927215189869</v>
          </cell>
          <cell r="M105">
            <v>282.70927215189869</v>
          </cell>
          <cell r="N105">
            <v>303.39531645569622</v>
          </cell>
        </row>
        <row r="106">
          <cell r="F106" t="str">
            <v>DE1200-SDR26</v>
          </cell>
          <cell r="G106">
            <v>168</v>
          </cell>
          <cell r="H106">
            <v>340.1567901234568</v>
          </cell>
          <cell r="I106">
            <v>367.36933333333332</v>
          </cell>
          <cell r="J106">
            <v>382.91935802469135</v>
          </cell>
          <cell r="K106">
            <v>376.23848101265821</v>
          </cell>
          <cell r="L106">
            <v>405.94151898734168</v>
          </cell>
          <cell r="M106">
            <v>405.94151898734168</v>
          </cell>
          <cell r="N106">
            <v>435.64455696202532</v>
          </cell>
        </row>
        <row r="107">
          <cell r="F107" t="str">
            <v>DE40-SDR22</v>
          </cell>
          <cell r="G107">
            <v>0.24</v>
          </cell>
          <cell r="H107">
            <v>0.48593827160493824</v>
          </cell>
          <cell r="I107">
            <v>0.52481333333333324</v>
          </cell>
          <cell r="J107">
            <v>0.54702765432098766</v>
          </cell>
          <cell r="K107">
            <v>0.53748354430379741</v>
          </cell>
          <cell r="L107">
            <v>0.57991645569620243</v>
          </cell>
          <cell r="M107">
            <v>0.57991645569620243</v>
          </cell>
          <cell r="N107">
            <v>0.62234936708860755</v>
          </cell>
        </row>
        <row r="108">
          <cell r="F108" t="str">
            <v>DE50-SDR22</v>
          </cell>
          <cell r="G108">
            <v>0.36499999999999999</v>
          </cell>
          <cell r="H108">
            <v>0.73903112139917693</v>
          </cell>
          <cell r="I108">
            <v>0.79815361111111105</v>
          </cell>
          <cell r="J108">
            <v>0.83193789094650206</v>
          </cell>
          <cell r="K108">
            <v>0.81742289029535864</v>
          </cell>
          <cell r="L108">
            <v>0.8819562763713078</v>
          </cell>
          <cell r="M108">
            <v>0.8819562763713078</v>
          </cell>
          <cell r="N108">
            <v>0.94648966244725741</v>
          </cell>
        </row>
        <row r="109">
          <cell r="F109" t="str">
            <v>DE63-SDR22</v>
          </cell>
          <cell r="G109">
            <v>0.56899999999999995</v>
          </cell>
          <cell r="H109">
            <v>1.1520786522633744</v>
          </cell>
          <cell r="I109">
            <v>1.2442449444444441</v>
          </cell>
          <cell r="J109">
            <v>1.2969113971193413</v>
          </cell>
          <cell r="K109">
            <v>1.2742839029535864</v>
          </cell>
          <cell r="L109">
            <v>1.3748852637130797</v>
          </cell>
          <cell r="M109">
            <v>1.3748852637130797</v>
          </cell>
          <cell r="N109">
            <v>1.4754866244725737</v>
          </cell>
        </row>
        <row r="110">
          <cell r="F110" t="str">
            <v>DE75-SDR22</v>
          </cell>
          <cell r="G110">
            <v>0.81599999999999995</v>
          </cell>
          <cell r="H110">
            <v>1.6521901234567899</v>
          </cell>
          <cell r="I110">
            <v>1.7843653333333331</v>
          </cell>
          <cell r="J110">
            <v>1.8598940246913578</v>
          </cell>
          <cell r="K110">
            <v>1.8274440506329113</v>
          </cell>
          <cell r="L110">
            <v>1.9717159493670882</v>
          </cell>
          <cell r="M110">
            <v>1.9717159493670882</v>
          </cell>
          <cell r="N110">
            <v>2.1159878481012657</v>
          </cell>
        </row>
        <row r="111">
          <cell r="F111" t="str">
            <v>DE90-SDR22</v>
          </cell>
          <cell r="G111">
            <v>1.1499999999999999</v>
          </cell>
          <cell r="H111">
            <v>2.3284542181069958</v>
          </cell>
          <cell r="I111">
            <v>2.514730555555555</v>
          </cell>
          <cell r="J111">
            <v>2.6211741769547321</v>
          </cell>
          <cell r="K111">
            <v>2.5754419831223627</v>
          </cell>
          <cell r="L111">
            <v>2.7787663502109696</v>
          </cell>
          <cell r="M111">
            <v>2.7787663502109696</v>
          </cell>
          <cell r="N111">
            <v>2.9820907172995779</v>
          </cell>
        </row>
        <row r="112">
          <cell r="F112" t="str">
            <v>DE110-SDR22</v>
          </cell>
          <cell r="G112">
            <v>1.69</v>
          </cell>
          <cell r="H112">
            <v>3.421815329218107</v>
          </cell>
          <cell r="I112">
            <v>3.6955605555555553</v>
          </cell>
          <cell r="J112">
            <v>3.8519863991769547</v>
          </cell>
          <cell r="K112">
            <v>3.7847799578059069</v>
          </cell>
          <cell r="L112">
            <v>4.0835783755274253</v>
          </cell>
          <cell r="M112">
            <v>4.0835783755274253</v>
          </cell>
          <cell r="N112">
            <v>4.3823767932489455</v>
          </cell>
        </row>
        <row r="113">
          <cell r="F113" t="str">
            <v>DE125-SDR22</v>
          </cell>
          <cell r="G113">
            <v>2.19</v>
          </cell>
          <cell r="H113">
            <v>4.434186728395062</v>
          </cell>
          <cell r="I113">
            <v>4.7889216666666661</v>
          </cell>
          <cell r="J113">
            <v>4.9916273456790119</v>
          </cell>
          <cell r="K113">
            <v>4.9045373417721514</v>
          </cell>
          <cell r="L113">
            <v>5.2917376582278468</v>
          </cell>
          <cell r="M113">
            <v>5.2917376582278468</v>
          </cell>
          <cell r="N113">
            <v>5.678937974683544</v>
          </cell>
        </row>
        <row r="114">
          <cell r="F114" t="str">
            <v>DE140-SDR22</v>
          </cell>
          <cell r="G114">
            <v>2.75</v>
          </cell>
          <cell r="H114">
            <v>5.5680426954732507</v>
          </cell>
          <cell r="I114">
            <v>6.0134861111111109</v>
          </cell>
          <cell r="J114">
            <v>6.2680252057613171</v>
          </cell>
          <cell r="K114">
            <v>6.1586656118143459</v>
          </cell>
          <cell r="L114">
            <v>6.6448760548523191</v>
          </cell>
          <cell r="M114">
            <v>6.6448760548523191</v>
          </cell>
          <cell r="N114">
            <v>7.1310864978902959</v>
          </cell>
        </row>
        <row r="115">
          <cell r="F115" t="str">
            <v>DE160-SDR22</v>
          </cell>
          <cell r="G115">
            <v>3.58</v>
          </cell>
          <cell r="H115">
            <v>7.2485792181069959</v>
          </cell>
          <cell r="I115">
            <v>7.8284655555555549</v>
          </cell>
          <cell r="J115">
            <v>8.159829176954732</v>
          </cell>
          <cell r="K115">
            <v>8.0174628691983116</v>
          </cell>
          <cell r="L115">
            <v>8.6504204641350189</v>
          </cell>
          <cell r="M115">
            <v>8.6504204641350189</v>
          </cell>
          <cell r="N115">
            <v>9.2833780590717296</v>
          </cell>
        </row>
        <row r="116">
          <cell r="F116" t="str">
            <v>DE180-SDR22</v>
          </cell>
          <cell r="G116">
            <v>4.5199999999999996</v>
          </cell>
          <cell r="H116">
            <v>9.1518374485596699</v>
          </cell>
          <cell r="I116">
            <v>9.883984444444442</v>
          </cell>
          <cell r="J116">
            <v>10.3023541563786</v>
          </cell>
          <cell r="K116">
            <v>10.122606751054851</v>
          </cell>
          <cell r="L116">
            <v>10.921759915611812</v>
          </cell>
          <cell r="M116">
            <v>10.921759915611812</v>
          </cell>
          <cell r="N116">
            <v>11.720913080168776</v>
          </cell>
        </row>
        <row r="117">
          <cell r="F117" t="str">
            <v>DE200-SDR22</v>
          </cell>
          <cell r="G117">
            <v>5.57</v>
          </cell>
          <cell r="H117">
            <v>11.277817386831277</v>
          </cell>
          <cell r="I117">
            <v>12.180042777777777</v>
          </cell>
          <cell r="J117">
            <v>12.695600144032923</v>
          </cell>
          <cell r="K117">
            <v>12.474097257383967</v>
          </cell>
          <cell r="L117">
            <v>13.458894409282699</v>
          </cell>
          <cell r="M117">
            <v>13.458894409282699</v>
          </cell>
          <cell r="N117">
            <v>14.443691561181435</v>
          </cell>
        </row>
        <row r="118">
          <cell r="F118" t="str">
            <v>DE225-SDR22</v>
          </cell>
          <cell r="G118">
            <v>7.07</v>
          </cell>
          <cell r="H118">
            <v>14.314931584362141</v>
          </cell>
          <cell r="I118">
            <v>15.46012611111111</v>
          </cell>
          <cell r="J118">
            <v>16.114522983539096</v>
          </cell>
          <cell r="K118">
            <v>15.833369409282701</v>
          </cell>
          <cell r="L118">
            <v>17.083372257383964</v>
          </cell>
          <cell r="M118">
            <v>17.083372257383964</v>
          </cell>
          <cell r="N118">
            <v>18.333375105485235</v>
          </cell>
        </row>
        <row r="119">
          <cell r="F119" t="str">
            <v>DE250-SDR22</v>
          </cell>
          <cell r="G119">
            <v>8.68</v>
          </cell>
          <cell r="H119">
            <v>17.574767489711935</v>
          </cell>
          <cell r="I119">
            <v>18.980748888888886</v>
          </cell>
          <cell r="J119">
            <v>19.784166831275719</v>
          </cell>
          <cell r="K119">
            <v>19.438988185654008</v>
          </cell>
          <cell r="L119">
            <v>20.973645147679321</v>
          </cell>
          <cell r="M119">
            <v>20.973645147679321</v>
          </cell>
          <cell r="N119">
            <v>22.508302109704641</v>
          </cell>
        </row>
        <row r="120">
          <cell r="F120" t="str">
            <v>DE280-SDR22</v>
          </cell>
          <cell r="G120">
            <v>10.9</v>
          </cell>
          <cell r="H120">
            <v>22.069696502057614</v>
          </cell>
          <cell r="I120">
            <v>23.835272222222219</v>
          </cell>
          <cell r="J120">
            <v>24.844172633744858</v>
          </cell>
          <cell r="K120">
            <v>24.410710970464134</v>
          </cell>
          <cell r="L120">
            <v>26.337872362869195</v>
          </cell>
          <cell r="M120">
            <v>26.337872362869195</v>
          </cell>
          <cell r="N120">
            <v>28.265033755274263</v>
          </cell>
        </row>
        <row r="121">
          <cell r="F121" t="str">
            <v>DE315-SDR22</v>
          </cell>
          <cell r="G121">
            <v>13.8</v>
          </cell>
          <cell r="H121">
            <v>27.941450617283952</v>
          </cell>
          <cell r="I121">
            <v>30.176766666666666</v>
          </cell>
          <cell r="J121">
            <v>31.45409012345679</v>
          </cell>
          <cell r="K121">
            <v>30.905303797468356</v>
          </cell>
          <cell r="L121">
            <v>33.345196202531639</v>
          </cell>
          <cell r="M121">
            <v>33.345196202531639</v>
          </cell>
          <cell r="N121">
            <v>35.785088607594936</v>
          </cell>
        </row>
        <row r="122">
          <cell r="F122" t="str">
            <v>DE355-SDR22</v>
          </cell>
          <cell r="G122">
            <v>17.5</v>
          </cell>
          <cell r="H122">
            <v>35.432998971193413</v>
          </cell>
          <cell r="I122">
            <v>38.267638888888882</v>
          </cell>
          <cell r="J122">
            <v>39.887433127572017</v>
          </cell>
          <cell r="K122">
            <v>39.191508438818566</v>
          </cell>
          <cell r="L122">
            <v>42.28557489451476</v>
          </cell>
          <cell r="M122">
            <v>42.28557489451476</v>
          </cell>
          <cell r="N122">
            <v>45.379641350210974</v>
          </cell>
        </row>
        <row r="123">
          <cell r="F123" t="str">
            <v>DE400-SDR22</v>
          </cell>
          <cell r="G123">
            <v>22.1</v>
          </cell>
          <cell r="H123">
            <v>44.746815843621405</v>
          </cell>
          <cell r="I123">
            <v>48.326561111111111</v>
          </cell>
          <cell r="J123">
            <v>50.37212983539095</v>
          </cell>
          <cell r="K123">
            <v>49.493276371308021</v>
          </cell>
          <cell r="L123">
            <v>53.400640295358642</v>
          </cell>
          <cell r="M123">
            <v>53.400640295358642</v>
          </cell>
          <cell r="N123">
            <v>57.308004219409291</v>
          </cell>
        </row>
        <row r="124">
          <cell r="F124" t="str">
            <v>DE450-SDR22</v>
          </cell>
          <cell r="G124">
            <v>28</v>
          </cell>
          <cell r="H124">
            <v>56.692798353909467</v>
          </cell>
          <cell r="I124">
            <v>61.228222222222215</v>
          </cell>
          <cell r="J124">
            <v>63.819893004115229</v>
          </cell>
          <cell r="K124">
            <v>62.706413502109704</v>
          </cell>
          <cell r="L124">
            <v>67.656919831223618</v>
          </cell>
          <cell r="M124">
            <v>67.656919831223618</v>
          </cell>
          <cell r="N124">
            <v>72.607426160337553</v>
          </cell>
        </row>
        <row r="125">
          <cell r="F125" t="str">
            <v>DE500-SDR22</v>
          </cell>
          <cell r="G125">
            <v>34.5</v>
          </cell>
          <cell r="H125">
            <v>69.85362654320987</v>
          </cell>
          <cell r="I125">
            <v>75.441916666666657</v>
          </cell>
          <cell r="J125">
            <v>78.635225308641978</v>
          </cell>
          <cell r="K125">
            <v>77.263259493670887</v>
          </cell>
          <cell r="L125">
            <v>83.362990506329098</v>
          </cell>
          <cell r="M125">
            <v>83.362990506329098</v>
          </cell>
          <cell r="N125">
            <v>89.462721518987351</v>
          </cell>
        </row>
        <row r="126">
          <cell r="F126" t="str">
            <v>DE560-SDR22</v>
          </cell>
          <cell r="G126">
            <v>43.2</v>
          </cell>
          <cell r="H126">
            <v>87.468888888888898</v>
          </cell>
          <cell r="I126">
            <v>94.466399999999993</v>
          </cell>
          <cell r="J126">
            <v>98.46497777777779</v>
          </cell>
          <cell r="K126">
            <v>96.74703797468355</v>
          </cell>
          <cell r="L126">
            <v>104.38496202531644</v>
          </cell>
          <cell r="M126">
            <v>104.38496202531644</v>
          </cell>
          <cell r="N126">
            <v>112.02288607594937</v>
          </cell>
        </row>
        <row r="127">
          <cell r="F127" t="str">
            <v>DE630-SDR22</v>
          </cell>
          <cell r="G127">
            <v>54.7</v>
          </cell>
          <cell r="H127">
            <v>110.75343106995885</v>
          </cell>
          <cell r="I127">
            <v>119.61370555555555</v>
          </cell>
          <cell r="J127">
            <v>124.67671954732511</v>
          </cell>
          <cell r="K127">
            <v>122.50145780590718</v>
          </cell>
          <cell r="L127">
            <v>132.17262552742613</v>
          </cell>
          <cell r="M127">
            <v>132.17262552742613</v>
          </cell>
          <cell r="N127">
            <v>141.84379324894516</v>
          </cell>
        </row>
        <row r="128">
          <cell r="F128" t="str">
            <v>DE710-SDR22</v>
          </cell>
          <cell r="G128">
            <v>69.400000000000006</v>
          </cell>
          <cell r="H128">
            <v>140.51715020576134</v>
          </cell>
          <cell r="I128">
            <v>151.75852222222221</v>
          </cell>
          <cell r="J128">
            <v>158.18216337448561</v>
          </cell>
          <cell r="K128">
            <v>155.42232489451479</v>
          </cell>
          <cell r="L128">
            <v>167.69250843881855</v>
          </cell>
          <cell r="M128">
            <v>167.69250843881855</v>
          </cell>
          <cell r="N128">
            <v>179.9626919831224</v>
          </cell>
        </row>
        <row r="129">
          <cell r="F129" t="str">
            <v>DE800-SDR22</v>
          </cell>
          <cell r="G129">
            <v>88.1</v>
          </cell>
          <cell r="H129">
            <v>178.37984053497942</v>
          </cell>
          <cell r="I129">
            <v>192.65022777777776</v>
          </cell>
          <cell r="J129">
            <v>200.80473477366255</v>
          </cell>
          <cell r="K129">
            <v>197.30125105485232</v>
          </cell>
          <cell r="L129">
            <v>212.87766561181428</v>
          </cell>
          <cell r="M129">
            <v>212.87766561181428</v>
          </cell>
          <cell r="N129">
            <v>228.45408016877636</v>
          </cell>
        </row>
        <row r="130">
          <cell r="F130" t="str">
            <v>DE900-SDR22</v>
          </cell>
          <cell r="G130">
            <v>112</v>
          </cell>
          <cell r="H130">
            <v>226.77119341563787</v>
          </cell>
          <cell r="I130">
            <v>244.91288888888886</v>
          </cell>
          <cell r="J130">
            <v>255.27957201646092</v>
          </cell>
          <cell r="K130">
            <v>250.82565400843882</v>
          </cell>
          <cell r="L130">
            <v>270.62767932489447</v>
          </cell>
          <cell r="M130">
            <v>270.62767932489447</v>
          </cell>
          <cell r="N130">
            <v>290.42970464135021</v>
          </cell>
        </row>
        <row r="131">
          <cell r="F131" t="str">
            <v>DE1000-SDR22</v>
          </cell>
          <cell r="G131">
            <v>138</v>
          </cell>
          <cell r="H131">
            <v>279.41450617283948</v>
          </cell>
          <cell r="I131">
            <v>301.76766666666663</v>
          </cell>
          <cell r="J131">
            <v>314.54090123456791</v>
          </cell>
          <cell r="K131">
            <v>309.05303797468355</v>
          </cell>
          <cell r="L131">
            <v>333.45196202531639</v>
          </cell>
          <cell r="M131">
            <v>333.45196202531639</v>
          </cell>
          <cell r="N131">
            <v>357.8508860759494</v>
          </cell>
        </row>
        <row r="132">
          <cell r="F132" t="str">
            <v>DE1200-SDR22</v>
          </cell>
          <cell r="G132">
            <v>198</v>
          </cell>
          <cell r="H132">
            <v>400.89907407407406</v>
          </cell>
          <cell r="I132">
            <v>432.97099999999995</v>
          </cell>
          <cell r="J132">
            <v>451.29781481481479</v>
          </cell>
          <cell r="K132">
            <v>443.42392405063288</v>
          </cell>
          <cell r="L132">
            <v>478.43107594936703</v>
          </cell>
          <cell r="M132">
            <v>478.43107594936703</v>
          </cell>
          <cell r="N132">
            <v>513.43822784810129</v>
          </cell>
        </row>
        <row r="133">
          <cell r="F133" t="str">
            <v>DE40-SDR21</v>
          </cell>
          <cell r="G133">
            <v>0.251</v>
          </cell>
          <cell r="H133">
            <v>0.50821044238683133</v>
          </cell>
          <cell r="I133">
            <v>0.54886727777777777</v>
          </cell>
          <cell r="J133">
            <v>0.57209975514403288</v>
          </cell>
          <cell r="K133">
            <v>0.56211820675105484</v>
          </cell>
          <cell r="L133">
            <v>0.60649595991561167</v>
          </cell>
          <cell r="M133">
            <v>0.60649595991561167</v>
          </cell>
          <cell r="N133">
            <v>0.65087371308016884</v>
          </cell>
        </row>
        <row r="134">
          <cell r="F134" t="str">
            <v>DE50-SDR21</v>
          </cell>
          <cell r="G134">
            <v>0.378</v>
          </cell>
          <cell r="H134">
            <v>0.76535277777777777</v>
          </cell>
          <cell r="I134">
            <v>0.8265809999999999</v>
          </cell>
          <cell r="J134">
            <v>0.86156855555555556</v>
          </cell>
          <cell r="K134">
            <v>0.84653658227848094</v>
          </cell>
          <cell r="L134">
            <v>0.91336841772151878</v>
          </cell>
          <cell r="M134">
            <v>0.91336841772151878</v>
          </cell>
          <cell r="N134">
            <v>0.98020025316455694</v>
          </cell>
        </row>
        <row r="135">
          <cell r="F135" t="str">
            <v>DE63-SDR21</v>
          </cell>
          <cell r="G135">
            <v>0.58599999999999997</v>
          </cell>
          <cell r="H135">
            <v>1.1864992798353908</v>
          </cell>
          <cell r="I135">
            <v>1.281419222222222</v>
          </cell>
          <cell r="J135">
            <v>1.3356591893004115</v>
          </cell>
          <cell r="K135">
            <v>1.3123556540084387</v>
          </cell>
          <cell r="L135">
            <v>1.4159626793248943</v>
          </cell>
          <cell r="M135">
            <v>1.4159626793248943</v>
          </cell>
          <cell r="N135">
            <v>1.5195697046413501</v>
          </cell>
        </row>
        <row r="136">
          <cell r="F136" t="str">
            <v>DE75-SDR21</v>
          </cell>
          <cell r="G136">
            <v>0.83599999999999997</v>
          </cell>
          <cell r="H136">
            <v>1.6926849794238683</v>
          </cell>
          <cell r="I136">
            <v>1.8280997777777774</v>
          </cell>
          <cell r="J136">
            <v>1.9054796625514403</v>
          </cell>
          <cell r="K136">
            <v>1.8722343459915611</v>
          </cell>
          <cell r="L136">
            <v>2.0200423206751053</v>
          </cell>
          <cell r="M136">
            <v>2.0200423206751053</v>
          </cell>
          <cell r="N136">
            <v>2.1678502953586496</v>
          </cell>
        </row>
        <row r="137">
          <cell r="F137" t="str">
            <v>DE90-SDR21</v>
          </cell>
          <cell r="G137">
            <v>1.2</v>
          </cell>
          <cell r="H137">
            <v>2.4296913580246913</v>
          </cell>
          <cell r="I137">
            <v>2.6240666666666663</v>
          </cell>
          <cell r="J137">
            <v>2.7351382716049382</v>
          </cell>
          <cell r="K137">
            <v>2.6874177215189872</v>
          </cell>
          <cell r="L137">
            <v>2.8995822784810121</v>
          </cell>
          <cell r="M137">
            <v>2.8995822784810121</v>
          </cell>
          <cell r="N137">
            <v>3.111746835443038</v>
          </cell>
        </row>
        <row r="138">
          <cell r="F138" t="str">
            <v>DE110-SDR21</v>
          </cell>
          <cell r="G138">
            <v>1.79</v>
          </cell>
          <cell r="H138">
            <v>3.624289609053498</v>
          </cell>
          <cell r="I138">
            <v>3.9142327777777775</v>
          </cell>
          <cell r="J138">
            <v>4.079914588477366</v>
          </cell>
          <cell r="K138">
            <v>4.0087314345991558</v>
          </cell>
          <cell r="L138">
            <v>4.3252102320675094</v>
          </cell>
          <cell r="M138">
            <v>4.3252102320675094</v>
          </cell>
          <cell r="N138">
            <v>4.6416890295358648</v>
          </cell>
        </row>
        <row r="139">
          <cell r="F139" t="str">
            <v>DE125-SDR21</v>
          </cell>
          <cell r="G139">
            <v>2.29</v>
          </cell>
          <cell r="H139">
            <v>4.6366610082304529</v>
          </cell>
          <cell r="I139">
            <v>5.0075938888888887</v>
          </cell>
          <cell r="J139">
            <v>5.219555534979424</v>
          </cell>
          <cell r="K139">
            <v>5.1284888185654012</v>
          </cell>
          <cell r="L139">
            <v>5.5333695147679318</v>
          </cell>
          <cell r="M139">
            <v>5.5333695147679318</v>
          </cell>
          <cell r="N139">
            <v>5.9382502109704642</v>
          </cell>
        </row>
        <row r="140">
          <cell r="F140" t="str">
            <v>DE140-SDR21</v>
          </cell>
          <cell r="G140">
            <v>2.86</v>
          </cell>
          <cell r="H140">
            <v>5.7907644032921812</v>
          </cell>
          <cell r="I140">
            <v>6.2540255555555548</v>
          </cell>
          <cell r="J140">
            <v>6.5187462139917693</v>
          </cell>
          <cell r="K140">
            <v>6.4050122362869191</v>
          </cell>
          <cell r="L140">
            <v>6.9106710970464116</v>
          </cell>
          <cell r="M140">
            <v>6.9106710970464116</v>
          </cell>
          <cell r="N140">
            <v>7.4163299578059068</v>
          </cell>
        </row>
        <row r="141">
          <cell r="F141" t="str">
            <v>DE160-SDR21</v>
          </cell>
          <cell r="G141">
            <v>3.75</v>
          </cell>
          <cell r="H141">
            <v>7.5927854938271606</v>
          </cell>
          <cell r="I141">
            <v>8.2002083333333324</v>
          </cell>
          <cell r="J141">
            <v>8.5473070987654314</v>
          </cell>
          <cell r="K141">
            <v>8.3981803797468348</v>
          </cell>
          <cell r="L141">
            <v>9.061194620253163</v>
          </cell>
          <cell r="M141">
            <v>9.061194620253163</v>
          </cell>
          <cell r="N141">
            <v>9.7242088607594948</v>
          </cell>
        </row>
        <row r="142">
          <cell r="F142" t="str">
            <v>DE180-SDR21</v>
          </cell>
          <cell r="G142">
            <v>4.71</v>
          </cell>
          <cell r="H142">
            <v>9.5365385802469138</v>
          </cell>
          <cell r="I142">
            <v>10.299461666666666</v>
          </cell>
          <cell r="J142">
            <v>10.735417716049383</v>
          </cell>
          <cell r="K142">
            <v>10.548114556962025</v>
          </cell>
          <cell r="L142">
            <v>11.380860443037973</v>
          </cell>
          <cell r="M142">
            <v>11.380860443037973</v>
          </cell>
          <cell r="N142">
            <v>12.213606329113924</v>
          </cell>
        </row>
        <row r="143">
          <cell r="F143" t="str">
            <v>DE200-SDR21</v>
          </cell>
          <cell r="G143">
            <v>5.84</v>
          </cell>
          <cell r="H143">
            <v>11.824497942386831</v>
          </cell>
          <cell r="I143">
            <v>12.770457777777777</v>
          </cell>
          <cell r="J143">
            <v>13.311006255144033</v>
          </cell>
          <cell r="K143">
            <v>13.078766244725738</v>
          </cell>
          <cell r="L143">
            <v>14.111300421940925</v>
          </cell>
          <cell r="M143">
            <v>14.111300421940925</v>
          </cell>
          <cell r="N143">
            <v>15.143834599156119</v>
          </cell>
        </row>
        <row r="144">
          <cell r="F144" t="str">
            <v>DE225-SDR21</v>
          </cell>
          <cell r="G144">
            <v>7.37</v>
          </cell>
          <cell r="H144">
            <v>14.922354423868313</v>
          </cell>
          <cell r="I144">
            <v>16.116142777777778</v>
          </cell>
          <cell r="J144">
            <v>16.798307551440331</v>
          </cell>
          <cell r="K144">
            <v>16.505223839662445</v>
          </cell>
          <cell r="L144">
            <v>17.808267827004215</v>
          </cell>
          <cell r="M144">
            <v>17.808267827004215</v>
          </cell>
          <cell r="N144">
            <v>19.111311814345992</v>
          </cell>
        </row>
        <row r="145">
          <cell r="F145" t="str">
            <v>DE250-SDR21</v>
          </cell>
          <cell r="G145">
            <v>9.02</v>
          </cell>
          <cell r="H145">
            <v>18.263180041152264</v>
          </cell>
          <cell r="I145">
            <v>19.724234444444441</v>
          </cell>
          <cell r="J145">
            <v>20.559122674897118</v>
          </cell>
          <cell r="K145">
            <v>20.200423206751054</v>
          </cell>
          <cell r="L145">
            <v>21.795193459915605</v>
          </cell>
          <cell r="M145">
            <v>21.795193459915605</v>
          </cell>
          <cell r="N145">
            <v>23.389963713080167</v>
          </cell>
        </row>
        <row r="146">
          <cell r="F146" t="str">
            <v>DE280-SDR21</v>
          </cell>
          <cell r="G146">
            <v>11.4</v>
          </cell>
          <cell r="H146">
            <v>23.08206790123457</v>
          </cell>
          <cell r="I146">
            <v>24.92863333333333</v>
          </cell>
          <cell r="J146">
            <v>25.983813580246913</v>
          </cell>
          <cell r="K146">
            <v>25.530468354430379</v>
          </cell>
          <cell r="L146">
            <v>27.546031645569617</v>
          </cell>
          <cell r="M146">
            <v>27.546031645569617</v>
          </cell>
          <cell r="N146">
            <v>29.561594936708861</v>
          </cell>
        </row>
        <row r="147">
          <cell r="F147" t="str">
            <v>DE315-SDR21</v>
          </cell>
          <cell r="G147">
            <v>14.3</v>
          </cell>
          <cell r="H147">
            <v>28.953822016460908</v>
          </cell>
          <cell r="I147">
            <v>31.270127777777777</v>
          </cell>
          <cell r="J147">
            <v>32.593731069958849</v>
          </cell>
          <cell r="K147">
            <v>32.025061181434602</v>
          </cell>
          <cell r="L147">
            <v>34.553355485232061</v>
          </cell>
          <cell r="M147">
            <v>34.553355485232061</v>
          </cell>
          <cell r="N147">
            <v>37.081649789029541</v>
          </cell>
        </row>
        <row r="148">
          <cell r="F148" t="str">
            <v>DE355-SDR21</v>
          </cell>
          <cell r="G148">
            <v>18.2</v>
          </cell>
          <cell r="H148">
            <v>36.850318930041148</v>
          </cell>
          <cell r="I148">
            <v>39.798344444444439</v>
          </cell>
          <cell r="J148">
            <v>41.482930452674893</v>
          </cell>
          <cell r="K148">
            <v>40.759168776371304</v>
          </cell>
          <cell r="L148">
            <v>43.976997890295351</v>
          </cell>
          <cell r="M148">
            <v>43.976997890295351</v>
          </cell>
          <cell r="N148">
            <v>47.194827004219412</v>
          </cell>
        </row>
        <row r="149">
          <cell r="F149" t="str">
            <v>DE400-SDR21</v>
          </cell>
          <cell r="G149">
            <v>23.1</v>
          </cell>
          <cell r="H149">
            <v>46.771558641975311</v>
          </cell>
          <cell r="I149">
            <v>50.513283333333334</v>
          </cell>
          <cell r="J149">
            <v>52.651411728395061</v>
          </cell>
          <cell r="K149">
            <v>51.732791139240511</v>
          </cell>
          <cell r="L149">
            <v>55.816958860759485</v>
          </cell>
          <cell r="M149">
            <v>55.816958860759485</v>
          </cell>
          <cell r="N149">
            <v>59.901126582278486</v>
          </cell>
        </row>
        <row r="150">
          <cell r="F150" t="str">
            <v>DE450-SDR21</v>
          </cell>
          <cell r="G150">
            <v>29.3</v>
          </cell>
          <cell r="H150">
            <v>59.32496399176955</v>
          </cell>
          <cell r="I150">
            <v>64.070961111111103</v>
          </cell>
          <cell r="J150">
            <v>66.782959465020582</v>
          </cell>
          <cell r="K150">
            <v>65.617782700421941</v>
          </cell>
          <cell r="L150">
            <v>70.79813396624472</v>
          </cell>
          <cell r="M150">
            <v>70.79813396624472</v>
          </cell>
          <cell r="N150">
            <v>75.978485232067513</v>
          </cell>
        </row>
        <row r="151">
          <cell r="F151" t="str">
            <v>DE500-SDR21</v>
          </cell>
          <cell r="G151">
            <v>36.1</v>
          </cell>
          <cell r="H151">
            <v>73.093215020576139</v>
          </cell>
          <cell r="I151">
            <v>78.940672222222219</v>
          </cell>
          <cell r="J151">
            <v>82.282076337448558</v>
          </cell>
          <cell r="K151">
            <v>80.846483122362869</v>
          </cell>
          <cell r="L151">
            <v>87.229100210970458</v>
          </cell>
          <cell r="M151">
            <v>87.229100210970458</v>
          </cell>
          <cell r="N151">
            <v>93.611717299578061</v>
          </cell>
        </row>
        <row r="152">
          <cell r="F152" t="str">
            <v>DE560-SDR21</v>
          </cell>
          <cell r="G152">
            <v>45.2</v>
          </cell>
          <cell r="H152">
            <v>91.518374485596709</v>
          </cell>
          <cell r="I152">
            <v>98.839844444444438</v>
          </cell>
          <cell r="J152">
            <v>103.02354156378601</v>
          </cell>
          <cell r="K152">
            <v>101.22606751054853</v>
          </cell>
          <cell r="L152">
            <v>109.21759915611813</v>
          </cell>
          <cell r="M152">
            <v>109.21759915611813</v>
          </cell>
          <cell r="N152">
            <v>117.20913080168778</v>
          </cell>
        </row>
        <row r="153">
          <cell r="F153" t="str">
            <v>DE630-SDR21</v>
          </cell>
          <cell r="G153">
            <v>57</v>
          </cell>
          <cell r="H153">
            <v>115.41033950617285</v>
          </cell>
          <cell r="I153">
            <v>124.64316666666666</v>
          </cell>
          <cell r="J153">
            <v>129.91906790123457</v>
          </cell>
          <cell r="K153">
            <v>127.6523417721519</v>
          </cell>
          <cell r="L153">
            <v>137.73015822784808</v>
          </cell>
          <cell r="M153">
            <v>137.73015822784808</v>
          </cell>
          <cell r="N153">
            <v>147.8079746835443</v>
          </cell>
        </row>
        <row r="154">
          <cell r="F154" t="str">
            <v>DE710-SDR21</v>
          </cell>
          <cell r="G154">
            <v>72.599999999999994</v>
          </cell>
          <cell r="H154">
            <v>146.99632716049382</v>
          </cell>
          <cell r="I154">
            <v>158.75603333333331</v>
          </cell>
          <cell r="J154">
            <v>165.47586543209874</v>
          </cell>
          <cell r="K154">
            <v>162.58877215189872</v>
          </cell>
          <cell r="L154">
            <v>175.42472784810121</v>
          </cell>
          <cell r="M154">
            <v>175.42472784810121</v>
          </cell>
          <cell r="N154">
            <v>188.26068354430379</v>
          </cell>
        </row>
        <row r="155">
          <cell r="F155" t="str">
            <v>DE800-SDR21</v>
          </cell>
          <cell r="G155">
            <v>92</v>
          </cell>
          <cell r="H155">
            <v>186.27633744855967</v>
          </cell>
          <cell r="I155">
            <v>201.17844444444444</v>
          </cell>
          <cell r="J155">
            <v>209.69393415637859</v>
          </cell>
          <cell r="K155">
            <v>206.03535864978903</v>
          </cell>
          <cell r="L155">
            <v>222.30130801687758</v>
          </cell>
          <cell r="M155">
            <v>222.30130801687758</v>
          </cell>
          <cell r="N155">
            <v>238.56725738396625</v>
          </cell>
        </row>
        <row r="156">
          <cell r="F156" t="str">
            <v>DE900-SDR21</v>
          </cell>
          <cell r="G156">
            <v>116</v>
          </cell>
          <cell r="H156">
            <v>234.87016460905349</v>
          </cell>
          <cell r="I156">
            <v>253.65977777777775</v>
          </cell>
          <cell r="J156">
            <v>264.39669958847736</v>
          </cell>
          <cell r="K156">
            <v>259.78371308016875</v>
          </cell>
          <cell r="L156">
            <v>280.29295358649784</v>
          </cell>
          <cell r="M156">
            <v>280.29295358649784</v>
          </cell>
          <cell r="N156">
            <v>300.80219409282699</v>
          </cell>
        </row>
        <row r="157">
          <cell r="F157" t="str">
            <v>DE1000-SDR21</v>
          </cell>
          <cell r="G157">
            <v>144</v>
          </cell>
          <cell r="H157">
            <v>291.56296296296296</v>
          </cell>
          <cell r="I157">
            <v>314.88799999999998</v>
          </cell>
          <cell r="J157">
            <v>328.21659259259258</v>
          </cell>
          <cell r="K157">
            <v>322.49012658227849</v>
          </cell>
          <cell r="L157">
            <v>347.94987341772145</v>
          </cell>
          <cell r="M157">
            <v>347.94987341772145</v>
          </cell>
          <cell r="N157">
            <v>373.40962025316458</v>
          </cell>
        </row>
        <row r="158">
          <cell r="F158" t="str">
            <v>DE1200-SDR21</v>
          </cell>
          <cell r="G158">
            <v>207</v>
          </cell>
          <cell r="H158">
            <v>419.12175925925925</v>
          </cell>
          <cell r="I158">
            <v>452.65149999999994</v>
          </cell>
          <cell r="J158">
            <v>471.81135185185184</v>
          </cell>
          <cell r="K158">
            <v>463.57955696202532</v>
          </cell>
          <cell r="L158">
            <v>500.17794303797461</v>
          </cell>
          <cell r="M158">
            <v>500.17794303797461</v>
          </cell>
          <cell r="N158">
            <v>536.77632911392402</v>
          </cell>
        </row>
        <row r="159">
          <cell r="F159" t="str">
            <v>DE32-SDR17,6</v>
          </cell>
          <cell r="G159">
            <v>0.19800000000000001</v>
          </cell>
          <cell r="H159">
            <v>0.4008990740740741</v>
          </cell>
          <cell r="I159">
            <v>0.43297099999999999</v>
          </cell>
          <cell r="J159">
            <v>0.45129781481481485</v>
          </cell>
          <cell r="K159">
            <v>0.44342392405063291</v>
          </cell>
          <cell r="L159">
            <v>0.47843107594936701</v>
          </cell>
          <cell r="M159">
            <v>0.47843107594936701</v>
          </cell>
          <cell r="N159">
            <v>0.51343822784810134</v>
          </cell>
        </row>
        <row r="160">
          <cell r="F160" t="str">
            <v>DE40-SDR17,6</v>
          </cell>
          <cell r="G160">
            <v>0.28799999999999998</v>
          </cell>
          <cell r="H160">
            <v>0.58312592592592594</v>
          </cell>
          <cell r="I160">
            <v>0.62977599999999989</v>
          </cell>
          <cell r="J160">
            <v>0.65643318518518512</v>
          </cell>
          <cell r="K160">
            <v>0.64498025316455687</v>
          </cell>
          <cell r="L160">
            <v>0.69589974683544287</v>
          </cell>
          <cell r="M160">
            <v>0.69589974683544287</v>
          </cell>
          <cell r="N160">
            <v>0.74681924050632909</v>
          </cell>
        </row>
        <row r="161">
          <cell r="F161" t="str">
            <v>DE50-SDR17,6</v>
          </cell>
          <cell r="G161">
            <v>0.44500000000000001</v>
          </cell>
          <cell r="H161">
            <v>0.90101054526748969</v>
          </cell>
          <cell r="I161">
            <v>0.9730913888888888</v>
          </cell>
          <cell r="J161">
            <v>1.0142804423868312</v>
          </cell>
          <cell r="K161">
            <v>0.99658407172995778</v>
          </cell>
          <cell r="L161">
            <v>1.0752617616033753</v>
          </cell>
          <cell r="M161">
            <v>1.0752617616033753</v>
          </cell>
          <cell r="N161">
            <v>1.1539394514767933</v>
          </cell>
        </row>
        <row r="162">
          <cell r="F162" t="str">
            <v>DE63-SDR17,6</v>
          </cell>
          <cell r="G162">
            <v>0.69499999999999995</v>
          </cell>
          <cell r="H162">
            <v>1.4071962448559669</v>
          </cell>
          <cell r="I162">
            <v>1.5197719444444442</v>
          </cell>
          <cell r="J162">
            <v>1.58410091563786</v>
          </cell>
          <cell r="K162">
            <v>1.5564627637130799</v>
          </cell>
          <cell r="L162">
            <v>1.679341402953586</v>
          </cell>
          <cell r="M162">
            <v>1.679341402953586</v>
          </cell>
          <cell r="N162">
            <v>1.8022200421940928</v>
          </cell>
        </row>
        <row r="163">
          <cell r="F163" t="str">
            <v>DE75-SDR17,6</v>
          </cell>
          <cell r="G163">
            <v>0.98699999999999999</v>
          </cell>
          <cell r="H163">
            <v>1.9984211419753086</v>
          </cell>
          <cell r="I163">
            <v>2.1582948333333332</v>
          </cell>
          <cell r="J163">
            <v>2.2496512283950616</v>
          </cell>
          <cell r="K163">
            <v>2.2104010759493669</v>
          </cell>
          <cell r="L163">
            <v>2.3849064240506324</v>
          </cell>
          <cell r="M163">
            <v>2.3849064240506324</v>
          </cell>
          <cell r="N163">
            <v>2.5594117721518987</v>
          </cell>
        </row>
        <row r="164">
          <cell r="F164" t="str">
            <v>DE90-SDR17,6</v>
          </cell>
          <cell r="G164">
            <v>1.4</v>
          </cell>
          <cell r="H164">
            <v>2.8346399176954731</v>
          </cell>
          <cell r="I164">
            <v>3.0614111111111106</v>
          </cell>
          <cell r="J164">
            <v>3.1909946502057611</v>
          </cell>
          <cell r="K164">
            <v>3.135320675105485</v>
          </cell>
          <cell r="L164">
            <v>3.3828459915611808</v>
          </cell>
          <cell r="M164">
            <v>3.3828459915611808</v>
          </cell>
          <cell r="N164">
            <v>3.6303713080168776</v>
          </cell>
        </row>
        <row r="165">
          <cell r="F165" t="str">
            <v>DE110-SDR17,6</v>
          </cell>
          <cell r="G165">
            <v>2.1</v>
          </cell>
          <cell r="H165">
            <v>4.2519598765432098</v>
          </cell>
          <cell r="I165">
            <v>4.5921166666666666</v>
          </cell>
          <cell r="J165">
            <v>4.7864919753086426</v>
          </cell>
          <cell r="K165">
            <v>4.7029810126582277</v>
          </cell>
          <cell r="L165">
            <v>5.074268987341771</v>
          </cell>
          <cell r="M165">
            <v>5.074268987341771</v>
          </cell>
          <cell r="N165">
            <v>5.445556962025317</v>
          </cell>
        </row>
        <row r="166">
          <cell r="F166" t="str">
            <v>DE125-SDR17,6</v>
          </cell>
          <cell r="G166">
            <v>2.69</v>
          </cell>
          <cell r="H166">
            <v>5.4465581275720165</v>
          </cell>
          <cell r="I166">
            <v>5.8822827777777773</v>
          </cell>
          <cell r="J166">
            <v>6.1312682921810699</v>
          </cell>
          <cell r="K166">
            <v>6.0242947257383967</v>
          </cell>
          <cell r="L166">
            <v>6.4998969409282683</v>
          </cell>
          <cell r="M166">
            <v>6.4998969409282683</v>
          </cell>
          <cell r="N166">
            <v>6.9754991561181434</v>
          </cell>
        </row>
        <row r="167">
          <cell r="F167" t="str">
            <v>DE140-SDR17,6</v>
          </cell>
          <cell r="G167">
            <v>3.37</v>
          </cell>
          <cell r="H167">
            <v>6.8233832304526754</v>
          </cell>
          <cell r="I167">
            <v>7.3692538888888883</v>
          </cell>
          <cell r="J167">
            <v>7.6811799794238684</v>
          </cell>
          <cell r="K167">
            <v>7.5471647679324896</v>
          </cell>
          <cell r="L167">
            <v>8.1429935654008432</v>
          </cell>
          <cell r="M167">
            <v>8.1429935654008432</v>
          </cell>
          <cell r="N167">
            <v>8.7388223628691986</v>
          </cell>
        </row>
        <row r="168">
          <cell r="F168" t="str">
            <v>DE160-SDR17,6</v>
          </cell>
          <cell r="G168">
            <v>4.4000000000000004</v>
          </cell>
          <cell r="H168">
            <v>8.9088683127572033</v>
          </cell>
          <cell r="I168">
            <v>9.6215777777777785</v>
          </cell>
          <cell r="J168">
            <v>10.028840329218108</v>
          </cell>
          <cell r="K168">
            <v>9.8538649789029549</v>
          </cell>
          <cell r="L168">
            <v>10.631801687763712</v>
          </cell>
          <cell r="M168">
            <v>10.631801687763712</v>
          </cell>
          <cell r="N168">
            <v>11.409738396624475</v>
          </cell>
        </row>
        <row r="169">
          <cell r="F169" t="str">
            <v>DE180-SDR17,6</v>
          </cell>
          <cell r="G169">
            <v>5.54</v>
          </cell>
          <cell r="H169">
            <v>11.217075102880658</v>
          </cell>
          <cell r="I169">
            <v>12.114441111111111</v>
          </cell>
          <cell r="J169">
            <v>12.627221687242798</v>
          </cell>
          <cell r="K169">
            <v>12.406911814345991</v>
          </cell>
          <cell r="L169">
            <v>13.386404852320673</v>
          </cell>
          <cell r="M169">
            <v>13.386404852320673</v>
          </cell>
          <cell r="N169">
            <v>14.36589789029536</v>
          </cell>
        </row>
        <row r="170">
          <cell r="F170" t="str">
            <v>DE200-SDR17,6</v>
          </cell>
          <cell r="G170">
            <v>6.86</v>
          </cell>
          <cell r="H170">
            <v>13.889735596707819</v>
          </cell>
          <cell r="I170">
            <v>15.000914444444444</v>
          </cell>
          <cell r="J170">
            <v>15.635873786008231</v>
          </cell>
          <cell r="K170">
            <v>15.363071308016877</v>
          </cell>
          <cell r="L170">
            <v>16.575945358649786</v>
          </cell>
          <cell r="M170">
            <v>16.575945358649786</v>
          </cell>
          <cell r="N170">
            <v>17.788819409282702</v>
          </cell>
        </row>
        <row r="171">
          <cell r="F171" t="str">
            <v>DE225-SDR17,6</v>
          </cell>
          <cell r="G171">
            <v>8.64</v>
          </cell>
          <cell r="H171">
            <v>17.49377777777778</v>
          </cell>
          <cell r="I171">
            <v>18.893280000000001</v>
          </cell>
          <cell r="J171">
            <v>19.692995555555555</v>
          </cell>
          <cell r="K171">
            <v>19.349407594936711</v>
          </cell>
          <cell r="L171">
            <v>20.876992405063287</v>
          </cell>
          <cell r="M171">
            <v>20.876992405063287</v>
          </cell>
          <cell r="N171">
            <v>22.404577215189875</v>
          </cell>
        </row>
        <row r="172">
          <cell r="F172" t="str">
            <v>DE250-SDR17,6</v>
          </cell>
          <cell r="G172">
            <v>10.7</v>
          </cell>
          <cell r="H172">
            <v>21.664747942386828</v>
          </cell>
          <cell r="I172">
            <v>23.397927777777774</v>
          </cell>
          <cell r="J172">
            <v>24.38831625514403</v>
          </cell>
          <cell r="K172">
            <v>23.962808016877634</v>
          </cell>
          <cell r="L172">
            <v>25.854608649789022</v>
          </cell>
          <cell r="M172">
            <v>25.854608649789022</v>
          </cell>
          <cell r="N172">
            <v>27.746409282700419</v>
          </cell>
        </row>
        <row r="173">
          <cell r="F173" t="str">
            <v>DE280-SDR17,6</v>
          </cell>
          <cell r="G173">
            <v>13.3</v>
          </cell>
          <cell r="H173">
            <v>26.929079218106999</v>
          </cell>
          <cell r="I173">
            <v>29.083405555555554</v>
          </cell>
          <cell r="J173">
            <v>30.314449176954735</v>
          </cell>
          <cell r="K173">
            <v>29.785546413502111</v>
          </cell>
          <cell r="L173">
            <v>32.137036919831218</v>
          </cell>
          <cell r="M173">
            <v>32.137036919831218</v>
          </cell>
          <cell r="N173">
            <v>34.488527426160339</v>
          </cell>
        </row>
        <row r="174">
          <cell r="F174" t="str">
            <v>DE315-SDR17,6</v>
          </cell>
          <cell r="G174">
            <v>16.899999999999999</v>
          </cell>
          <cell r="H174">
            <v>34.218153292181064</v>
          </cell>
          <cell r="I174">
            <v>36.95560555555555</v>
          </cell>
          <cell r="J174">
            <v>38.519863991769547</v>
          </cell>
          <cell r="K174">
            <v>37.847799578059067</v>
          </cell>
          <cell r="L174">
            <v>40.83578375527425</v>
          </cell>
          <cell r="M174">
            <v>40.83578375527425</v>
          </cell>
          <cell r="N174">
            <v>43.823767932489446</v>
          </cell>
        </row>
        <row r="175">
          <cell r="F175" t="str">
            <v>DE355-SDR17,6</v>
          </cell>
          <cell r="G175">
            <v>21.4</v>
          </cell>
          <cell r="H175">
            <v>43.329495884773657</v>
          </cell>
          <cell r="I175">
            <v>46.795855555555548</v>
          </cell>
          <cell r="J175">
            <v>48.77663251028806</v>
          </cell>
          <cell r="K175">
            <v>47.925616033755269</v>
          </cell>
          <cell r="L175">
            <v>51.709217299578043</v>
          </cell>
          <cell r="M175">
            <v>51.709217299578043</v>
          </cell>
          <cell r="N175">
            <v>55.492818565400839</v>
          </cell>
        </row>
        <row r="176">
          <cell r="F176" t="str">
            <v>DE400-SDR17,6</v>
          </cell>
          <cell r="G176">
            <v>27.2</v>
          </cell>
          <cell r="H176">
            <v>55.073004115226333</v>
          </cell>
          <cell r="I176">
            <v>59.478844444444434</v>
          </cell>
          <cell r="J176">
            <v>61.996467489711932</v>
          </cell>
          <cell r="K176">
            <v>60.914801687763706</v>
          </cell>
          <cell r="L176">
            <v>65.723864978902938</v>
          </cell>
          <cell r="M176">
            <v>65.723864978902938</v>
          </cell>
          <cell r="N176">
            <v>70.532928270042191</v>
          </cell>
        </row>
        <row r="177">
          <cell r="F177" t="str">
            <v>DE450-SDR17,6</v>
          </cell>
          <cell r="G177">
            <v>34.299999999999997</v>
          </cell>
          <cell r="H177">
            <v>69.448677983539085</v>
          </cell>
          <cell r="I177">
            <v>75.004572222222208</v>
          </cell>
          <cell r="J177">
            <v>78.17936893004115</v>
          </cell>
          <cell r="K177">
            <v>76.81535654008438</v>
          </cell>
          <cell r="L177">
            <v>82.879726793248921</v>
          </cell>
          <cell r="M177">
            <v>82.879726793248921</v>
          </cell>
          <cell r="N177">
            <v>88.944097046413503</v>
          </cell>
        </row>
        <row r="178">
          <cell r="F178" t="str">
            <v>DE500-SDR17,6</v>
          </cell>
          <cell r="G178">
            <v>42.3</v>
          </cell>
          <cell r="H178">
            <v>85.646620370370371</v>
          </cell>
          <cell r="I178">
            <v>92.498349999999988</v>
          </cell>
          <cell r="J178">
            <v>96.413624074074065</v>
          </cell>
          <cell r="K178">
            <v>94.731474683544292</v>
          </cell>
          <cell r="L178">
            <v>102.21027531645566</v>
          </cell>
          <cell r="M178">
            <v>102.21027531645566</v>
          </cell>
          <cell r="N178">
            <v>109.68907594936708</v>
          </cell>
        </row>
        <row r="179">
          <cell r="F179" t="str">
            <v>DE560-SDR17,6</v>
          </cell>
          <cell r="G179">
            <v>53</v>
          </cell>
          <cell r="H179">
            <v>107.3113683127572</v>
          </cell>
          <cell r="I179">
            <v>115.89627777777777</v>
          </cell>
          <cell r="J179">
            <v>120.80194032921811</v>
          </cell>
          <cell r="K179">
            <v>118.69428270042194</v>
          </cell>
          <cell r="L179">
            <v>128.06488396624471</v>
          </cell>
          <cell r="M179">
            <v>128.06488396624471</v>
          </cell>
          <cell r="N179">
            <v>137.43548523206752</v>
          </cell>
        </row>
        <row r="180">
          <cell r="F180" t="str">
            <v>DE630-SDR17,6</v>
          </cell>
          <cell r="G180">
            <v>67.2</v>
          </cell>
          <cell r="H180">
            <v>136.06271604938271</v>
          </cell>
          <cell r="I180">
            <v>146.94773333333333</v>
          </cell>
          <cell r="J180">
            <v>153.16774320987656</v>
          </cell>
          <cell r="K180">
            <v>150.49539240506328</v>
          </cell>
          <cell r="L180">
            <v>162.37660759493667</v>
          </cell>
          <cell r="M180">
            <v>162.37660759493667</v>
          </cell>
          <cell r="N180">
            <v>174.25782278481014</v>
          </cell>
        </row>
        <row r="181">
          <cell r="F181" t="str">
            <v>DE710-SDR17,6</v>
          </cell>
          <cell r="G181">
            <v>85.3</v>
          </cell>
          <cell r="H181">
            <v>172.71056069958848</v>
          </cell>
          <cell r="I181">
            <v>186.52740555555553</v>
          </cell>
          <cell r="J181">
            <v>194.42274547325101</v>
          </cell>
          <cell r="K181">
            <v>191.03060970464134</v>
          </cell>
          <cell r="L181">
            <v>206.11197362869194</v>
          </cell>
          <cell r="M181">
            <v>206.11197362869194</v>
          </cell>
          <cell r="N181">
            <v>221.19333755274261</v>
          </cell>
        </row>
        <row r="182">
          <cell r="F182" t="str">
            <v>DE800-SDR17,6</v>
          </cell>
          <cell r="G182">
            <v>108</v>
          </cell>
          <cell r="H182">
            <v>218.67222222222222</v>
          </cell>
          <cell r="I182">
            <v>236.16599999999997</v>
          </cell>
          <cell r="J182">
            <v>246.16244444444445</v>
          </cell>
          <cell r="K182">
            <v>241.86759493670885</v>
          </cell>
          <cell r="L182">
            <v>260.9624050632911</v>
          </cell>
          <cell r="M182">
            <v>260.9624050632911</v>
          </cell>
          <cell r="N182">
            <v>280.05721518987343</v>
          </cell>
        </row>
        <row r="183">
          <cell r="F183" t="str">
            <v>DE900-SDR17,6</v>
          </cell>
          <cell r="G183">
            <v>137</v>
          </cell>
          <cell r="H183">
            <v>277.3897633744856</v>
          </cell>
          <cell r="I183">
            <v>299.58094444444441</v>
          </cell>
          <cell r="J183">
            <v>312.2616193415638</v>
          </cell>
          <cell r="K183">
            <v>306.81352320675103</v>
          </cell>
          <cell r="L183">
            <v>331.03564345991555</v>
          </cell>
          <cell r="M183">
            <v>331.03564345991555</v>
          </cell>
          <cell r="N183">
            <v>355.25776371308018</v>
          </cell>
        </row>
        <row r="184">
          <cell r="F184" t="str">
            <v>DE1000-SDR17,6</v>
          </cell>
          <cell r="G184">
            <v>169</v>
          </cell>
          <cell r="H184">
            <v>342.18153292181069</v>
          </cell>
          <cell r="I184">
            <v>369.55605555555553</v>
          </cell>
          <cell r="J184">
            <v>385.19863991769546</v>
          </cell>
          <cell r="K184">
            <v>378.47799578059073</v>
          </cell>
          <cell r="L184">
            <v>408.35783755274252</v>
          </cell>
          <cell r="M184">
            <v>408.35783755274252</v>
          </cell>
          <cell r="N184">
            <v>438.23767932489454</v>
          </cell>
        </row>
        <row r="185">
          <cell r="F185" t="str">
            <v>DE1200-SDR17,6</v>
          </cell>
          <cell r="G185">
            <v>243</v>
          </cell>
          <cell r="H185">
            <v>492.01249999999999</v>
          </cell>
          <cell r="I185">
            <v>531.37349999999992</v>
          </cell>
          <cell r="J185">
            <v>553.8655</v>
          </cell>
          <cell r="K185">
            <v>544.20208860759487</v>
          </cell>
          <cell r="L185">
            <v>587.16541139240496</v>
          </cell>
          <cell r="M185">
            <v>587.16541139240496</v>
          </cell>
          <cell r="N185">
            <v>630.12873417721516</v>
          </cell>
        </row>
        <row r="186">
          <cell r="F186" t="str">
            <v>DE32-SDR17</v>
          </cell>
          <cell r="G186">
            <v>0.19800000000000001</v>
          </cell>
          <cell r="H186">
            <v>0.4008990740740741</v>
          </cell>
          <cell r="I186">
            <v>0.43297099999999999</v>
          </cell>
          <cell r="J186">
            <v>0.45129781481481485</v>
          </cell>
          <cell r="K186">
            <v>0.44342392405063291</v>
          </cell>
          <cell r="L186">
            <v>0.47843107594936701</v>
          </cell>
          <cell r="M186">
            <v>0.47843107594936701</v>
          </cell>
          <cell r="N186">
            <v>0.51343822784810134</v>
          </cell>
        </row>
        <row r="187">
          <cell r="F187" t="str">
            <v>DE40-SDR17</v>
          </cell>
          <cell r="G187">
            <v>0.29899999999999999</v>
          </cell>
          <cell r="H187">
            <v>0.60539809670781886</v>
          </cell>
          <cell r="I187">
            <v>0.65382994444444431</v>
          </cell>
          <cell r="J187">
            <v>0.68150528600823046</v>
          </cell>
          <cell r="K187">
            <v>0.6696149156118143</v>
          </cell>
          <cell r="L187">
            <v>0.72247925105485211</v>
          </cell>
          <cell r="M187">
            <v>0.72247925105485211</v>
          </cell>
          <cell r="N187">
            <v>0.77534358649789026</v>
          </cell>
        </row>
        <row r="188">
          <cell r="F188" t="str">
            <v>DE50-SDR17</v>
          </cell>
          <cell r="G188">
            <v>0.45800000000000002</v>
          </cell>
          <cell r="H188">
            <v>0.92733220164609054</v>
          </cell>
          <cell r="I188">
            <v>1.0015187777777776</v>
          </cell>
          <cell r="J188">
            <v>1.0439111069958849</v>
          </cell>
          <cell r="K188">
            <v>1.0256977637130802</v>
          </cell>
          <cell r="L188">
            <v>1.1066739029535864</v>
          </cell>
          <cell r="M188">
            <v>1.1066739029535864</v>
          </cell>
          <cell r="N188">
            <v>1.187650042194093</v>
          </cell>
        </row>
        <row r="189">
          <cell r="F189" t="str">
            <v>DE63-SDR17</v>
          </cell>
          <cell r="G189">
            <v>0.72799999999999998</v>
          </cell>
          <cell r="H189">
            <v>1.4740127572016462</v>
          </cell>
          <cell r="I189">
            <v>1.5919337777777776</v>
          </cell>
          <cell r="J189">
            <v>1.6593172181069957</v>
          </cell>
          <cell r="K189">
            <v>1.6303667510548523</v>
          </cell>
          <cell r="L189">
            <v>1.759079915611814</v>
          </cell>
          <cell r="M189">
            <v>1.759079915611814</v>
          </cell>
          <cell r="N189">
            <v>1.8877930801687763</v>
          </cell>
        </row>
        <row r="190">
          <cell r="F190" t="str">
            <v>DE75-SDR17</v>
          </cell>
          <cell r="G190">
            <v>1.03</v>
          </cell>
          <cell r="H190">
            <v>2.085485082304527</v>
          </cell>
          <cell r="I190">
            <v>2.2523238888888888</v>
          </cell>
          <cell r="J190">
            <v>2.3476603497942388</v>
          </cell>
          <cell r="K190">
            <v>2.306700210970464</v>
          </cell>
          <cell r="L190">
            <v>2.4888081223628689</v>
          </cell>
          <cell r="M190">
            <v>2.4888081223628689</v>
          </cell>
          <cell r="N190">
            <v>2.6709160337552742</v>
          </cell>
        </row>
        <row r="191">
          <cell r="F191" t="str">
            <v>DE90-SDR17</v>
          </cell>
          <cell r="G191">
            <v>1.47</v>
          </cell>
          <cell r="H191">
            <v>2.9763719135802469</v>
          </cell>
          <cell r="I191">
            <v>3.2144816666666665</v>
          </cell>
          <cell r="J191">
            <v>3.3505443827160493</v>
          </cell>
          <cell r="K191">
            <v>3.2920867088607593</v>
          </cell>
          <cell r="L191">
            <v>3.55198829113924</v>
          </cell>
          <cell r="M191">
            <v>3.55198829113924</v>
          </cell>
          <cell r="N191">
            <v>3.8118898734177216</v>
          </cell>
        </row>
        <row r="192">
          <cell r="F192" t="str">
            <v>DE110-SDR17</v>
          </cell>
          <cell r="G192">
            <v>2.19</v>
          </cell>
          <cell r="H192">
            <v>4.434186728395062</v>
          </cell>
          <cell r="I192">
            <v>4.7889216666666661</v>
          </cell>
          <cell r="J192">
            <v>4.9916273456790119</v>
          </cell>
          <cell r="K192">
            <v>4.9045373417721514</v>
          </cell>
          <cell r="L192">
            <v>5.2917376582278468</v>
          </cell>
          <cell r="M192">
            <v>5.2917376582278468</v>
          </cell>
          <cell r="N192">
            <v>5.678937974683544</v>
          </cell>
        </row>
        <row r="193">
          <cell r="F193" t="str">
            <v>DE125-SDR17</v>
          </cell>
          <cell r="G193">
            <v>2.79</v>
          </cell>
          <cell r="H193">
            <v>5.6490324074074074</v>
          </cell>
          <cell r="I193">
            <v>6.1009549999999999</v>
          </cell>
          <cell r="J193">
            <v>6.3591964814814812</v>
          </cell>
          <cell r="K193">
            <v>6.2482462025316456</v>
          </cell>
          <cell r="L193">
            <v>6.7415287974683533</v>
          </cell>
          <cell r="M193">
            <v>6.7415287974683533</v>
          </cell>
          <cell r="N193">
            <v>7.2348113924050637</v>
          </cell>
        </row>
        <row r="194">
          <cell r="F194" t="str">
            <v>DE140-SDR17</v>
          </cell>
          <cell r="G194">
            <v>3.5</v>
          </cell>
          <cell r="H194">
            <v>7.0865997942386834</v>
          </cell>
          <cell r="I194">
            <v>7.6535277777777768</v>
          </cell>
          <cell r="J194">
            <v>7.9774866255144037</v>
          </cell>
          <cell r="K194">
            <v>7.8383016877637131</v>
          </cell>
          <cell r="L194">
            <v>8.4571149789029523</v>
          </cell>
          <cell r="M194">
            <v>8.4571149789029523</v>
          </cell>
          <cell r="N194">
            <v>9.0759282700421942</v>
          </cell>
        </row>
        <row r="195">
          <cell r="F195" t="str">
            <v>DE160-SDR17</v>
          </cell>
          <cell r="G195">
            <v>4.57</v>
          </cell>
          <cell r="H195">
            <v>9.2530745884773662</v>
          </cell>
          <cell r="I195">
            <v>9.993320555555556</v>
          </cell>
          <cell r="J195">
            <v>10.416318251028807</v>
          </cell>
          <cell r="K195">
            <v>10.234582489451476</v>
          </cell>
          <cell r="L195">
            <v>11.042575843881854</v>
          </cell>
          <cell r="M195">
            <v>11.042575843881854</v>
          </cell>
          <cell r="N195">
            <v>11.850569198312238</v>
          </cell>
        </row>
        <row r="196">
          <cell r="F196" t="str">
            <v>DE180-SDR17</v>
          </cell>
          <cell r="G196">
            <v>5.77</v>
          </cell>
          <cell r="H196">
            <v>11.682765946502057</v>
          </cell>
          <cell r="I196">
            <v>12.61738722222222</v>
          </cell>
          <cell r="J196">
            <v>13.151456522633744</v>
          </cell>
          <cell r="K196">
            <v>12.922000210970463</v>
          </cell>
          <cell r="L196">
            <v>13.942158122362866</v>
          </cell>
          <cell r="M196">
            <v>13.942158122362866</v>
          </cell>
          <cell r="N196">
            <v>14.962316033755274</v>
          </cell>
        </row>
        <row r="197">
          <cell r="F197" t="str">
            <v>DE200-SDR17</v>
          </cell>
          <cell r="G197">
            <v>7.12</v>
          </cell>
          <cell r="H197">
            <v>14.416168724279835</v>
          </cell>
          <cell r="I197">
            <v>15.569462222222221</v>
          </cell>
          <cell r="J197">
            <v>16.2284870781893</v>
          </cell>
          <cell r="K197">
            <v>15.945345147679324</v>
          </cell>
          <cell r="L197">
            <v>17.204188185654004</v>
          </cell>
          <cell r="M197">
            <v>17.204188185654004</v>
          </cell>
          <cell r="N197">
            <v>18.463031223628693</v>
          </cell>
        </row>
        <row r="198">
          <cell r="F198" t="str">
            <v>DE225-SDR17</v>
          </cell>
          <cell r="G198">
            <v>9.0299999999999994</v>
          </cell>
          <cell r="H198">
            <v>18.283427469135802</v>
          </cell>
          <cell r="I198">
            <v>19.746101666666664</v>
          </cell>
          <cell r="J198">
            <v>20.581915493827157</v>
          </cell>
          <cell r="K198">
            <v>20.222818354430377</v>
          </cell>
          <cell r="L198">
            <v>21.819356645569616</v>
          </cell>
          <cell r="M198">
            <v>21.819356645569616</v>
          </cell>
          <cell r="N198">
            <v>23.41589493670886</v>
          </cell>
        </row>
        <row r="199">
          <cell r="F199" t="str">
            <v>DE250-SDR17</v>
          </cell>
          <cell r="G199">
            <v>11.1</v>
          </cell>
          <cell r="H199">
            <v>22.474645061728395</v>
          </cell>
          <cell r="I199">
            <v>24.272616666666664</v>
          </cell>
          <cell r="J199">
            <v>25.300029012345679</v>
          </cell>
          <cell r="K199">
            <v>24.85861392405063</v>
          </cell>
          <cell r="L199">
            <v>26.821136075949362</v>
          </cell>
          <cell r="M199">
            <v>26.821136075949362</v>
          </cell>
          <cell r="N199">
            <v>28.7836582278481</v>
          </cell>
        </row>
        <row r="200">
          <cell r="F200" t="str">
            <v>DE280-SDR17</v>
          </cell>
          <cell r="G200">
            <v>13.9</v>
          </cell>
          <cell r="H200">
            <v>28.143924897119341</v>
          </cell>
          <cell r="I200">
            <v>30.395438888888886</v>
          </cell>
          <cell r="J200">
            <v>31.682018312757201</v>
          </cell>
          <cell r="K200">
            <v>31.129255274261602</v>
          </cell>
          <cell r="L200">
            <v>33.586828059071728</v>
          </cell>
          <cell r="M200">
            <v>33.586828059071728</v>
          </cell>
          <cell r="N200">
            <v>36.04440084388186</v>
          </cell>
        </row>
        <row r="201">
          <cell r="F201" t="str">
            <v>DE315-SDR17</v>
          </cell>
          <cell r="G201">
            <v>17.600000000000001</v>
          </cell>
          <cell r="H201">
            <v>35.635473251028813</v>
          </cell>
          <cell r="I201">
            <v>38.486311111111114</v>
          </cell>
          <cell r="J201">
            <v>40.115361316872431</v>
          </cell>
          <cell r="K201">
            <v>39.415459915611819</v>
          </cell>
          <cell r="L201">
            <v>42.527206751054848</v>
          </cell>
          <cell r="M201">
            <v>42.527206751054848</v>
          </cell>
          <cell r="N201">
            <v>45.638953586497898</v>
          </cell>
        </row>
        <row r="202">
          <cell r="F202" t="str">
            <v>DE355-SDR17</v>
          </cell>
          <cell r="G202">
            <v>22.4</v>
          </cell>
          <cell r="H202">
            <v>45.354238683127569</v>
          </cell>
          <cell r="I202">
            <v>48.98257777777777</v>
          </cell>
          <cell r="J202">
            <v>51.055914403292178</v>
          </cell>
          <cell r="K202">
            <v>50.165130801687759</v>
          </cell>
          <cell r="L202">
            <v>54.125535864978893</v>
          </cell>
          <cell r="M202">
            <v>54.125535864978893</v>
          </cell>
          <cell r="N202">
            <v>58.085940928270041</v>
          </cell>
        </row>
        <row r="203">
          <cell r="F203" t="str">
            <v>DE400-SDR17</v>
          </cell>
          <cell r="G203">
            <v>28.3</v>
          </cell>
          <cell r="H203">
            <v>57.300221193415638</v>
          </cell>
          <cell r="I203">
            <v>61.884238888888888</v>
          </cell>
          <cell r="J203">
            <v>64.503677572016457</v>
          </cell>
          <cell r="K203">
            <v>63.37826793248945</v>
          </cell>
          <cell r="L203">
            <v>68.381815400843877</v>
          </cell>
          <cell r="M203">
            <v>68.381815400843877</v>
          </cell>
          <cell r="N203">
            <v>73.385362869198318</v>
          </cell>
        </row>
        <row r="204">
          <cell r="F204" t="str">
            <v>DE450-SDR17</v>
          </cell>
          <cell r="G204">
            <v>35.799999999999997</v>
          </cell>
          <cell r="H204">
            <v>72.485792181069954</v>
          </cell>
          <cell r="I204">
            <v>78.284655555555545</v>
          </cell>
          <cell r="J204">
            <v>81.598291769547316</v>
          </cell>
          <cell r="K204">
            <v>80.174628691983116</v>
          </cell>
          <cell r="L204">
            <v>86.504204641350185</v>
          </cell>
          <cell r="M204">
            <v>86.504204641350185</v>
          </cell>
          <cell r="N204">
            <v>92.833780590717296</v>
          </cell>
        </row>
        <row r="205">
          <cell r="F205" t="str">
            <v>DE500-SDR17</v>
          </cell>
          <cell r="G205">
            <v>44.2</v>
          </cell>
          <cell r="H205">
            <v>89.493631687242811</v>
          </cell>
          <cell r="I205">
            <v>96.653122222222223</v>
          </cell>
          <cell r="J205">
            <v>100.7442596707819</v>
          </cell>
          <cell r="K205">
            <v>98.986552742616041</v>
          </cell>
          <cell r="L205">
            <v>106.80128059071728</v>
          </cell>
          <cell r="M205">
            <v>106.80128059071728</v>
          </cell>
          <cell r="N205">
            <v>114.61600843881858</v>
          </cell>
        </row>
        <row r="206">
          <cell r="F206" t="str">
            <v>DE560-SDR17</v>
          </cell>
          <cell r="G206">
            <v>55.4</v>
          </cell>
          <cell r="H206">
            <v>112.17075102880658</v>
          </cell>
          <cell r="I206">
            <v>121.1444111111111</v>
          </cell>
          <cell r="J206">
            <v>126.27221687242798</v>
          </cell>
          <cell r="K206">
            <v>124.0691181434599</v>
          </cell>
          <cell r="L206">
            <v>133.86404852320672</v>
          </cell>
          <cell r="M206">
            <v>133.86404852320672</v>
          </cell>
          <cell r="N206">
            <v>143.65897890295358</v>
          </cell>
        </row>
        <row r="207">
          <cell r="F207" t="str">
            <v>DE630-SDR17</v>
          </cell>
          <cell r="G207">
            <v>70.2</v>
          </cell>
          <cell r="H207">
            <v>142.13694444444445</v>
          </cell>
          <cell r="I207">
            <v>153.50789999999998</v>
          </cell>
          <cell r="J207">
            <v>160.00558888888889</v>
          </cell>
          <cell r="K207">
            <v>157.21393670886076</v>
          </cell>
          <cell r="L207">
            <v>169.62556329113923</v>
          </cell>
          <cell r="M207">
            <v>169.62556329113923</v>
          </cell>
          <cell r="N207">
            <v>182.03718987341773</v>
          </cell>
        </row>
        <row r="208">
          <cell r="F208" t="str">
            <v>DE710-SDR17</v>
          </cell>
          <cell r="G208">
            <v>89</v>
          </cell>
          <cell r="H208">
            <v>180.20210905349794</v>
          </cell>
          <cell r="I208">
            <v>194.61827777777776</v>
          </cell>
          <cell r="J208">
            <v>202.85608847736626</v>
          </cell>
          <cell r="K208">
            <v>199.31681434599156</v>
          </cell>
          <cell r="L208">
            <v>215.05235232067506</v>
          </cell>
          <cell r="M208">
            <v>215.05235232067506</v>
          </cell>
          <cell r="N208">
            <v>230.78789029535866</v>
          </cell>
        </row>
        <row r="209">
          <cell r="F209" t="str">
            <v>DE800-SDR17</v>
          </cell>
          <cell r="G209">
            <v>113</v>
          </cell>
          <cell r="H209">
            <v>228.79593621399178</v>
          </cell>
          <cell r="I209">
            <v>247.09961111111107</v>
          </cell>
          <cell r="J209">
            <v>257.55885390946503</v>
          </cell>
          <cell r="K209">
            <v>253.06516877637131</v>
          </cell>
          <cell r="L209">
            <v>273.04399789029532</v>
          </cell>
          <cell r="M209">
            <v>273.04399789029532</v>
          </cell>
          <cell r="N209">
            <v>293.02282700421944</v>
          </cell>
        </row>
        <row r="210">
          <cell r="F210" t="str">
            <v>DE900-SDR17</v>
          </cell>
          <cell r="G210">
            <v>143</v>
          </cell>
          <cell r="H210">
            <v>289.53822016460907</v>
          </cell>
          <cell r="I210">
            <v>312.70127777777776</v>
          </cell>
          <cell r="J210">
            <v>325.93731069958847</v>
          </cell>
          <cell r="K210">
            <v>320.25061181434597</v>
          </cell>
          <cell r="L210">
            <v>345.53355485232061</v>
          </cell>
          <cell r="M210">
            <v>345.53355485232061</v>
          </cell>
          <cell r="N210">
            <v>370.81649789029535</v>
          </cell>
        </row>
        <row r="211">
          <cell r="F211" t="str">
            <v>DE1000-SDR17</v>
          </cell>
          <cell r="G211">
            <v>176</v>
          </cell>
          <cell r="H211">
            <v>356.35473251028804</v>
          </cell>
          <cell r="I211">
            <v>384.8631111111111</v>
          </cell>
          <cell r="J211">
            <v>401.15361316872429</v>
          </cell>
          <cell r="K211">
            <v>394.15459915611814</v>
          </cell>
          <cell r="L211">
            <v>425.27206751054842</v>
          </cell>
          <cell r="M211">
            <v>425.27206751054842</v>
          </cell>
          <cell r="N211">
            <v>456.38953586497894</v>
          </cell>
        </row>
        <row r="212">
          <cell r="F212" t="str">
            <v>DE25-SDR13,6</v>
          </cell>
          <cell r="G212">
            <v>0.151</v>
          </cell>
          <cell r="H212">
            <v>0.30573616255144032</v>
          </cell>
          <cell r="I212">
            <v>0.33019505555555551</v>
          </cell>
          <cell r="J212">
            <v>0.34417156584362141</v>
          </cell>
          <cell r="K212">
            <v>0.33816672995780589</v>
          </cell>
          <cell r="L212">
            <v>0.36486410337552733</v>
          </cell>
          <cell r="M212">
            <v>0.36486410337552733</v>
          </cell>
          <cell r="N212">
            <v>0.39156147679324893</v>
          </cell>
        </row>
        <row r="213">
          <cell r="F213" t="str">
            <v>DE32-SDR13,6</v>
          </cell>
          <cell r="G213">
            <v>0.23499999999999999</v>
          </cell>
          <cell r="H213">
            <v>0.47581455761316871</v>
          </cell>
          <cell r="I213">
            <v>0.51387972222222211</v>
          </cell>
          <cell r="J213">
            <v>0.53563124485596703</v>
          </cell>
          <cell r="K213">
            <v>0.52628597046413494</v>
          </cell>
          <cell r="L213">
            <v>0.56783486286919815</v>
          </cell>
          <cell r="M213">
            <v>0.56783486286919815</v>
          </cell>
          <cell r="N213">
            <v>0.60938375527426158</v>
          </cell>
        </row>
        <row r="214">
          <cell r="F214" t="str">
            <v>DE40-SDR13,6</v>
          </cell>
          <cell r="G214">
            <v>0.36</v>
          </cell>
          <cell r="H214">
            <v>0.72890740740740734</v>
          </cell>
          <cell r="I214">
            <v>0.78721999999999992</v>
          </cell>
          <cell r="J214">
            <v>0.82054148148148143</v>
          </cell>
          <cell r="K214">
            <v>0.80622531645569617</v>
          </cell>
          <cell r="L214">
            <v>0.86987468354430364</v>
          </cell>
          <cell r="M214">
            <v>0.86987468354430364</v>
          </cell>
          <cell r="N214">
            <v>0.93352405063291144</v>
          </cell>
        </row>
        <row r="215">
          <cell r="F215" t="str">
            <v>DE50-SDR13,6</v>
          </cell>
          <cell r="G215">
            <v>0.55500000000000005</v>
          </cell>
          <cell r="H215">
            <v>1.1237322530864198</v>
          </cell>
          <cell r="I215">
            <v>1.2136308333333332</v>
          </cell>
          <cell r="J215">
            <v>1.265001450617284</v>
          </cell>
          <cell r="K215">
            <v>1.2429306962025317</v>
          </cell>
          <cell r="L215">
            <v>1.3410568037974682</v>
          </cell>
          <cell r="M215">
            <v>1.3410568037974682</v>
          </cell>
          <cell r="N215">
            <v>1.4391829113924053</v>
          </cell>
        </row>
        <row r="216">
          <cell r="F216" t="str">
            <v>DE63-SDR13,6</v>
          </cell>
          <cell r="G216">
            <v>0.88300000000000001</v>
          </cell>
          <cell r="H216">
            <v>1.7878478909465021</v>
          </cell>
          <cell r="I216">
            <v>1.9308757222222221</v>
          </cell>
          <cell r="J216">
            <v>2.0126059115226336</v>
          </cell>
          <cell r="K216">
            <v>1.9774915400843882</v>
          </cell>
          <cell r="L216">
            <v>2.133609293248945</v>
          </cell>
          <cell r="M216">
            <v>2.133609293248945</v>
          </cell>
          <cell r="N216">
            <v>2.289727046413502</v>
          </cell>
        </row>
        <row r="217">
          <cell r="F217" t="str">
            <v>DE75-SDR13,6</v>
          </cell>
          <cell r="G217">
            <v>1.25</v>
          </cell>
          <cell r="H217">
            <v>2.5309284979423867</v>
          </cell>
          <cell r="I217">
            <v>2.7334027777777776</v>
          </cell>
          <cell r="J217">
            <v>2.8491023662551438</v>
          </cell>
          <cell r="K217">
            <v>2.7993934599156116</v>
          </cell>
          <cell r="L217">
            <v>3.0203982067510542</v>
          </cell>
          <cell r="M217">
            <v>3.0203982067510542</v>
          </cell>
          <cell r="N217">
            <v>3.2414029535864981</v>
          </cell>
        </row>
        <row r="218">
          <cell r="F218" t="str">
            <v>DE90-SDR13,6</v>
          </cell>
          <cell r="G218">
            <v>1.79</v>
          </cell>
          <cell r="H218">
            <v>3.624289609053498</v>
          </cell>
          <cell r="I218">
            <v>3.9142327777777775</v>
          </cell>
          <cell r="J218">
            <v>4.079914588477366</v>
          </cell>
          <cell r="K218">
            <v>4.0087314345991558</v>
          </cell>
          <cell r="L218">
            <v>4.3252102320675094</v>
          </cell>
          <cell r="M218">
            <v>4.3252102320675094</v>
          </cell>
          <cell r="N218">
            <v>4.6416890295358648</v>
          </cell>
        </row>
        <row r="219">
          <cell r="F219" t="str">
            <v>DE110-SDR13,6</v>
          </cell>
          <cell r="G219">
            <v>2.64</v>
          </cell>
          <cell r="H219">
            <v>5.3453209876543211</v>
          </cell>
          <cell r="I219">
            <v>5.772946666666666</v>
          </cell>
          <cell r="J219">
            <v>6.0173041975308648</v>
          </cell>
          <cell r="K219">
            <v>5.9123189873417719</v>
          </cell>
          <cell r="L219">
            <v>6.3790810126582267</v>
          </cell>
          <cell r="M219">
            <v>6.3790810126582267</v>
          </cell>
          <cell r="N219">
            <v>6.8458430379746842</v>
          </cell>
        </row>
        <row r="220">
          <cell r="F220" t="str">
            <v>DE125-SDR13,6</v>
          </cell>
          <cell r="G220">
            <v>3.4</v>
          </cell>
          <cell r="H220">
            <v>6.8841255144032916</v>
          </cell>
          <cell r="I220">
            <v>7.4348555555555542</v>
          </cell>
          <cell r="J220">
            <v>7.7495584362139915</v>
          </cell>
          <cell r="K220">
            <v>7.6143502109704633</v>
          </cell>
          <cell r="L220">
            <v>8.2154831223628673</v>
          </cell>
          <cell r="M220">
            <v>8.2154831223628673</v>
          </cell>
          <cell r="N220">
            <v>8.8166160337552739</v>
          </cell>
        </row>
        <row r="221">
          <cell r="F221" t="str">
            <v>DE140-SDR13,6</v>
          </cell>
          <cell r="G221">
            <v>4.26</v>
          </cell>
          <cell r="H221">
            <v>8.6254043209876539</v>
          </cell>
          <cell r="I221">
            <v>9.315436666666665</v>
          </cell>
          <cell r="J221">
            <v>9.7097408641975296</v>
          </cell>
          <cell r="K221">
            <v>9.5403329113924045</v>
          </cell>
          <cell r="L221">
            <v>10.293517088607592</v>
          </cell>
          <cell r="M221">
            <v>10.293517088607592</v>
          </cell>
          <cell r="N221">
            <v>11.046701265822785</v>
          </cell>
        </row>
        <row r="222">
          <cell r="F222" t="str">
            <v>DE160-SDR13,6</v>
          </cell>
          <cell r="G222">
            <v>5.56</v>
          </cell>
          <cell r="H222">
            <v>11.257569958847736</v>
          </cell>
          <cell r="I222">
            <v>12.158175555555554</v>
          </cell>
          <cell r="J222">
            <v>12.67280732510288</v>
          </cell>
          <cell r="K222">
            <v>12.451702109704639</v>
          </cell>
          <cell r="L222">
            <v>13.434731223628688</v>
          </cell>
          <cell r="M222">
            <v>13.434731223628688</v>
          </cell>
          <cell r="N222">
            <v>14.417760337552743</v>
          </cell>
        </row>
        <row r="223">
          <cell r="F223" t="str">
            <v>DE180-SDR13,6</v>
          </cell>
          <cell r="G223">
            <v>7.05</v>
          </cell>
          <cell r="H223">
            <v>14.274436728395061</v>
          </cell>
          <cell r="I223">
            <v>15.416391666666664</v>
          </cell>
          <cell r="J223">
            <v>16.068937345679011</v>
          </cell>
          <cell r="K223">
            <v>15.788579113924049</v>
          </cell>
          <cell r="L223">
            <v>17.035045886075945</v>
          </cell>
          <cell r="M223">
            <v>17.035045886075945</v>
          </cell>
          <cell r="N223">
            <v>18.281512658227847</v>
          </cell>
        </row>
        <row r="224">
          <cell r="F224" t="str">
            <v>DE200-SDR13,6</v>
          </cell>
          <cell r="G224">
            <v>8.65</v>
          </cell>
          <cell r="H224">
            <v>17.514025205761317</v>
          </cell>
          <cell r="I224">
            <v>18.91514722222222</v>
          </cell>
          <cell r="J224">
            <v>19.715788374485598</v>
          </cell>
          <cell r="K224">
            <v>19.371802742616033</v>
          </cell>
          <cell r="L224">
            <v>20.901155590717298</v>
          </cell>
          <cell r="M224">
            <v>20.901155590717298</v>
          </cell>
          <cell r="N224">
            <v>22.430508438818567</v>
          </cell>
        </row>
        <row r="225">
          <cell r="F225" t="str">
            <v>DE225-SDR13,6</v>
          </cell>
          <cell r="G225">
            <v>11</v>
          </cell>
          <cell r="H225">
            <v>22.272170781893003</v>
          </cell>
          <cell r="I225">
            <v>24.053944444444443</v>
          </cell>
          <cell r="J225">
            <v>25.072100823045268</v>
          </cell>
          <cell r="K225">
            <v>24.634662447257384</v>
          </cell>
          <cell r="L225">
            <v>26.579504219409277</v>
          </cell>
          <cell r="M225">
            <v>26.579504219409277</v>
          </cell>
          <cell r="N225">
            <v>28.524345991561184</v>
          </cell>
        </row>
        <row r="226">
          <cell r="F226" t="str">
            <v>DE250-SDR13,6</v>
          </cell>
          <cell r="G226">
            <v>13.5</v>
          </cell>
          <cell r="H226">
            <v>27.334027777777777</v>
          </cell>
          <cell r="I226">
            <v>29.520749999999996</v>
          </cell>
          <cell r="J226">
            <v>30.770305555555556</v>
          </cell>
          <cell r="K226">
            <v>30.233449367088607</v>
          </cell>
          <cell r="L226">
            <v>32.620300632911388</v>
          </cell>
          <cell r="M226">
            <v>32.620300632911388</v>
          </cell>
          <cell r="N226">
            <v>35.007151898734179</v>
          </cell>
        </row>
        <row r="227">
          <cell r="F227" t="str">
            <v>DE280-SDR13,6</v>
          </cell>
          <cell r="G227">
            <v>16.899999999999999</v>
          </cell>
          <cell r="H227">
            <v>34.218153292181064</v>
          </cell>
          <cell r="I227">
            <v>36.95560555555555</v>
          </cell>
          <cell r="J227">
            <v>38.519863991769547</v>
          </cell>
          <cell r="K227">
            <v>37.847799578059067</v>
          </cell>
          <cell r="L227">
            <v>40.83578375527425</v>
          </cell>
          <cell r="M227">
            <v>40.83578375527425</v>
          </cell>
          <cell r="N227">
            <v>43.823767932489446</v>
          </cell>
        </row>
        <row r="228">
          <cell r="F228" t="str">
            <v>DE315-SDR13,6</v>
          </cell>
          <cell r="G228">
            <v>21.5</v>
          </cell>
          <cell r="H228">
            <v>43.531970164609056</v>
          </cell>
          <cell r="I228">
            <v>47.014527777777772</v>
          </cell>
          <cell r="J228">
            <v>49.004560699588474</v>
          </cell>
          <cell r="K228">
            <v>48.149567510548522</v>
          </cell>
          <cell r="L228">
            <v>51.950849156118132</v>
          </cell>
          <cell r="M228">
            <v>51.950849156118132</v>
          </cell>
          <cell r="N228">
            <v>55.752130801687763</v>
          </cell>
        </row>
        <row r="229">
          <cell r="F229" t="str">
            <v>DE355-SDR13,6</v>
          </cell>
          <cell r="G229">
            <v>27.2</v>
          </cell>
          <cell r="H229">
            <v>55.073004115226333</v>
          </cell>
          <cell r="I229">
            <v>59.478844444444434</v>
          </cell>
          <cell r="J229">
            <v>61.996467489711932</v>
          </cell>
          <cell r="K229">
            <v>60.914801687763706</v>
          </cell>
          <cell r="L229">
            <v>65.723864978902938</v>
          </cell>
          <cell r="M229">
            <v>65.723864978902938</v>
          </cell>
          <cell r="N229">
            <v>70.532928270042191</v>
          </cell>
        </row>
        <row r="230">
          <cell r="F230" t="str">
            <v>DE400-SDR13,6</v>
          </cell>
          <cell r="G230">
            <v>34.5</v>
          </cell>
          <cell r="H230">
            <v>69.85362654320987</v>
          </cell>
          <cell r="I230">
            <v>75.441916666666657</v>
          </cell>
          <cell r="J230">
            <v>78.635225308641978</v>
          </cell>
          <cell r="K230">
            <v>77.263259493670887</v>
          </cell>
          <cell r="L230">
            <v>83.362990506329098</v>
          </cell>
          <cell r="M230">
            <v>83.362990506329098</v>
          </cell>
          <cell r="N230">
            <v>89.462721518987351</v>
          </cell>
        </row>
        <row r="231">
          <cell r="F231" t="str">
            <v>DE450-SDR13,6</v>
          </cell>
          <cell r="G231">
            <v>43.7</v>
          </cell>
          <cell r="H231">
            <v>88.481260288065855</v>
          </cell>
          <cell r="I231">
            <v>95.559761111111115</v>
          </cell>
          <cell r="J231">
            <v>99.604618724279845</v>
          </cell>
          <cell r="K231">
            <v>97.866795358649796</v>
          </cell>
          <cell r="L231">
            <v>105.59312130801686</v>
          </cell>
          <cell r="M231">
            <v>105.59312130801686</v>
          </cell>
          <cell r="N231">
            <v>113.31944725738397</v>
          </cell>
        </row>
        <row r="232">
          <cell r="F232" t="str">
            <v>DE500-SDR13,6</v>
          </cell>
          <cell r="G232">
            <v>53.9</v>
          </cell>
          <cell r="H232">
            <v>109.13363683127572</v>
          </cell>
          <cell r="I232">
            <v>117.86432777777776</v>
          </cell>
          <cell r="J232">
            <v>122.85329403292181</v>
          </cell>
          <cell r="K232">
            <v>120.70984599156118</v>
          </cell>
          <cell r="L232">
            <v>130.23957067510545</v>
          </cell>
          <cell r="M232">
            <v>130.23957067510545</v>
          </cell>
          <cell r="N232">
            <v>139.7692953586498</v>
          </cell>
        </row>
        <row r="233">
          <cell r="F233" t="str">
            <v>DE560-SDR13,6</v>
          </cell>
          <cell r="G233">
            <v>67.599999999999994</v>
          </cell>
          <cell r="H233">
            <v>136.87261316872426</v>
          </cell>
          <cell r="I233">
            <v>147.8224222222222</v>
          </cell>
          <cell r="J233">
            <v>154.07945596707819</v>
          </cell>
          <cell r="K233">
            <v>151.39119831223627</v>
          </cell>
          <cell r="L233">
            <v>163.343135021097</v>
          </cell>
          <cell r="M233">
            <v>163.343135021097</v>
          </cell>
          <cell r="N233">
            <v>175.29507172995778</v>
          </cell>
        </row>
        <row r="234">
          <cell r="F234" t="str">
            <v>DE630-SDR13,6</v>
          </cell>
          <cell r="G234">
            <v>85.5</v>
          </cell>
          <cell r="H234">
            <v>173.11550925925926</v>
          </cell>
          <cell r="I234">
            <v>186.96474999999998</v>
          </cell>
          <cell r="J234">
            <v>194.87860185185184</v>
          </cell>
          <cell r="K234">
            <v>191.47851265822783</v>
          </cell>
          <cell r="L234">
            <v>206.5952373417721</v>
          </cell>
          <cell r="M234">
            <v>206.5952373417721</v>
          </cell>
          <cell r="N234">
            <v>221.71196202531647</v>
          </cell>
        </row>
        <row r="235">
          <cell r="F235" t="str">
            <v>DE710-SDR13,6</v>
          </cell>
          <cell r="G235">
            <v>109</v>
          </cell>
          <cell r="H235">
            <v>220.69696502057613</v>
          </cell>
          <cell r="I235">
            <v>238.35272222222221</v>
          </cell>
          <cell r="J235">
            <v>248.44172633744856</v>
          </cell>
          <cell r="K235">
            <v>244.10710970464135</v>
          </cell>
          <cell r="L235">
            <v>263.37872362869194</v>
          </cell>
          <cell r="M235">
            <v>263.37872362869194</v>
          </cell>
          <cell r="N235">
            <v>282.6503375527426</v>
          </cell>
        </row>
        <row r="236">
          <cell r="F236" t="str">
            <v>DE800-SDR13,6</v>
          </cell>
          <cell r="G236">
            <v>138</v>
          </cell>
          <cell r="H236">
            <v>279.41450617283948</v>
          </cell>
          <cell r="I236">
            <v>301.76766666666663</v>
          </cell>
          <cell r="J236">
            <v>314.54090123456791</v>
          </cell>
          <cell r="K236">
            <v>309.05303797468355</v>
          </cell>
          <cell r="L236">
            <v>333.45196202531639</v>
          </cell>
          <cell r="M236">
            <v>333.45196202531639</v>
          </cell>
          <cell r="N236">
            <v>357.8508860759494</v>
          </cell>
        </row>
        <row r="237">
          <cell r="F237" t="str">
            <v>DE900-SDR13,6</v>
          </cell>
          <cell r="G237">
            <v>174</v>
          </cell>
          <cell r="H237">
            <v>352.30524691358022</v>
          </cell>
          <cell r="I237">
            <v>380.48966666666661</v>
          </cell>
          <cell r="J237">
            <v>396.59504938271607</v>
          </cell>
          <cell r="K237">
            <v>389.67556962025316</v>
          </cell>
          <cell r="L237">
            <v>420.43943037974674</v>
          </cell>
          <cell r="M237">
            <v>420.43943037974674</v>
          </cell>
          <cell r="N237">
            <v>451.20329113924055</v>
          </cell>
        </row>
        <row r="238">
          <cell r="F238" t="str">
            <v>DE20-SDR11</v>
          </cell>
          <cell r="G238">
            <v>0.11799999999999999</v>
          </cell>
          <cell r="H238">
            <v>0.23891965020576131</v>
          </cell>
          <cell r="I238">
            <v>0.25803322222222219</v>
          </cell>
          <cell r="J238">
            <v>0.26895526337448555</v>
          </cell>
          <cell r="K238">
            <v>0.26426274261603372</v>
          </cell>
          <cell r="L238">
            <v>0.28512559071729954</v>
          </cell>
          <cell r="M238">
            <v>0.28512559071729954</v>
          </cell>
          <cell r="N238">
            <v>0.30598843881856541</v>
          </cell>
        </row>
        <row r="239">
          <cell r="F239" t="str">
            <v>DE25-SDR11</v>
          </cell>
          <cell r="G239">
            <v>0.17299999999999999</v>
          </cell>
          <cell r="H239">
            <v>0.35028050411522632</v>
          </cell>
          <cell r="I239">
            <v>0.3783029444444444</v>
          </cell>
          <cell r="J239">
            <v>0.39431576748971192</v>
          </cell>
          <cell r="K239">
            <v>0.38743605485232063</v>
          </cell>
          <cell r="L239">
            <v>0.41802311181434587</v>
          </cell>
          <cell r="M239">
            <v>0.41802311181434587</v>
          </cell>
          <cell r="N239">
            <v>0.44861016877637128</v>
          </cell>
        </row>
        <row r="240">
          <cell r="F240" t="str">
            <v>DE32-SDR11</v>
          </cell>
          <cell r="G240">
            <v>0.28199999999999997</v>
          </cell>
          <cell r="H240">
            <v>0.57097746913580238</v>
          </cell>
          <cell r="I240">
            <v>0.6166556666666666</v>
          </cell>
          <cell r="J240">
            <v>0.64275749382716041</v>
          </cell>
          <cell r="K240">
            <v>0.63154316455696191</v>
          </cell>
          <cell r="L240">
            <v>0.68140183544303778</v>
          </cell>
          <cell r="M240">
            <v>0.68140183544303778</v>
          </cell>
          <cell r="N240">
            <v>0.73126050632911388</v>
          </cell>
        </row>
        <row r="241">
          <cell r="F241" t="str">
            <v>DE40-SDR11</v>
          </cell>
          <cell r="G241">
            <v>0.434</v>
          </cell>
          <cell r="H241">
            <v>0.87873837448559666</v>
          </cell>
          <cell r="I241">
            <v>0.94903744444444438</v>
          </cell>
          <cell r="J241">
            <v>0.98920834156378601</v>
          </cell>
          <cell r="K241">
            <v>0.97194940928270035</v>
          </cell>
          <cell r="L241">
            <v>1.048682257383966</v>
          </cell>
          <cell r="M241">
            <v>1.048682257383966</v>
          </cell>
          <cell r="N241">
            <v>1.1254151054852322</v>
          </cell>
        </row>
        <row r="242">
          <cell r="F242" t="str">
            <v>DE50-SDR11</v>
          </cell>
          <cell r="G242">
            <v>0.67300000000000004</v>
          </cell>
          <cell r="H242">
            <v>1.3626519032921811</v>
          </cell>
          <cell r="I242">
            <v>1.4716640555555556</v>
          </cell>
          <cell r="J242">
            <v>1.5339567139917696</v>
          </cell>
          <cell r="K242">
            <v>1.5071934388185655</v>
          </cell>
          <cell r="L242">
            <v>1.6261823945147678</v>
          </cell>
          <cell r="M242">
            <v>1.6261823945147678</v>
          </cell>
          <cell r="N242">
            <v>1.7451713502109707</v>
          </cell>
        </row>
        <row r="243">
          <cell r="F243" t="str">
            <v>DE63-SDR11</v>
          </cell>
          <cell r="G243">
            <v>1.06</v>
          </cell>
          <cell r="H243">
            <v>2.1462273662551441</v>
          </cell>
          <cell r="I243">
            <v>2.3179255555555556</v>
          </cell>
          <cell r="J243">
            <v>2.4160388065843623</v>
          </cell>
          <cell r="K243">
            <v>2.373885654008439</v>
          </cell>
          <cell r="L243">
            <v>2.5612976793248943</v>
          </cell>
          <cell r="M243">
            <v>2.5612976793248943</v>
          </cell>
          <cell r="N243">
            <v>2.7487097046413504</v>
          </cell>
        </row>
        <row r="244">
          <cell r="F244" t="str">
            <v>DE75-SDR11</v>
          </cell>
          <cell r="G244">
            <v>1.48</v>
          </cell>
          <cell r="H244">
            <v>2.9966193415637861</v>
          </cell>
          <cell r="I244">
            <v>3.2363488888888887</v>
          </cell>
          <cell r="J244">
            <v>3.3733372016460903</v>
          </cell>
          <cell r="K244">
            <v>3.3144818565400844</v>
          </cell>
          <cell r="L244">
            <v>3.5761514767932483</v>
          </cell>
          <cell r="M244">
            <v>3.5761514767932483</v>
          </cell>
          <cell r="N244">
            <v>3.8378210970464135</v>
          </cell>
        </row>
        <row r="245">
          <cell r="F245" t="str">
            <v>DE90-SDR11</v>
          </cell>
          <cell r="G245">
            <v>2.14</v>
          </cell>
          <cell r="H245">
            <v>4.3329495884773666</v>
          </cell>
          <cell r="I245">
            <v>4.6795855555555557</v>
          </cell>
          <cell r="J245">
            <v>4.8776632510288067</v>
          </cell>
          <cell r="K245">
            <v>4.7925616033755274</v>
          </cell>
          <cell r="L245">
            <v>5.1709217299578052</v>
          </cell>
          <cell r="M245">
            <v>5.1709217299578052</v>
          </cell>
          <cell r="N245">
            <v>5.5492818565400848</v>
          </cell>
        </row>
        <row r="246">
          <cell r="F246" t="str">
            <v>DE110-SDR11</v>
          </cell>
          <cell r="G246">
            <v>3.18</v>
          </cell>
          <cell r="H246">
            <v>6.4386820987654323</v>
          </cell>
          <cell r="I246">
            <v>6.9537766666666663</v>
          </cell>
          <cell r="J246">
            <v>7.248116419753087</v>
          </cell>
          <cell r="K246">
            <v>7.121656962025317</v>
          </cell>
          <cell r="L246">
            <v>7.6838930379746824</v>
          </cell>
          <cell r="M246">
            <v>7.6838930379746824</v>
          </cell>
          <cell r="N246">
            <v>8.2461291139240505</v>
          </cell>
        </row>
        <row r="247">
          <cell r="F247" t="str">
            <v>DE125-SDR11</v>
          </cell>
          <cell r="G247">
            <v>4.12</v>
          </cell>
          <cell r="H247">
            <v>8.341940329218108</v>
          </cell>
          <cell r="I247">
            <v>9.0092955555555552</v>
          </cell>
          <cell r="J247">
            <v>9.3906413991769551</v>
          </cell>
          <cell r="K247">
            <v>9.2268008438818558</v>
          </cell>
          <cell r="L247">
            <v>9.9552324894514754</v>
          </cell>
          <cell r="M247">
            <v>9.9552324894514754</v>
          </cell>
          <cell r="N247">
            <v>10.683664135021097</v>
          </cell>
        </row>
        <row r="248">
          <cell r="F248" t="str">
            <v>DE140-SDR11</v>
          </cell>
          <cell r="G248">
            <v>5.13</v>
          </cell>
          <cell r="H248">
            <v>10.386930555555555</v>
          </cell>
          <cell r="I248">
            <v>11.217884999999999</v>
          </cell>
          <cell r="J248">
            <v>11.69271611111111</v>
          </cell>
          <cell r="K248">
            <v>11.488710759493671</v>
          </cell>
          <cell r="L248">
            <v>12.395714240506326</v>
          </cell>
          <cell r="M248">
            <v>12.395714240506326</v>
          </cell>
          <cell r="N248">
            <v>13.302717721518988</v>
          </cell>
        </row>
        <row r="249">
          <cell r="F249" t="str">
            <v>DE160-SDR11</v>
          </cell>
          <cell r="G249">
            <v>6.74</v>
          </cell>
          <cell r="H249">
            <v>13.646766460905351</v>
          </cell>
          <cell r="I249">
            <v>14.738507777777777</v>
          </cell>
          <cell r="J249">
            <v>15.362359958847737</v>
          </cell>
          <cell r="K249">
            <v>15.094329535864979</v>
          </cell>
          <cell r="L249">
            <v>16.285987130801686</v>
          </cell>
          <cell r="M249">
            <v>16.285987130801686</v>
          </cell>
          <cell r="N249">
            <v>17.477644725738397</v>
          </cell>
        </row>
        <row r="250">
          <cell r="F250" t="str">
            <v>DE180-SDR11</v>
          </cell>
          <cell r="G250">
            <v>8.51</v>
          </cell>
          <cell r="H250">
            <v>17.23056121399177</v>
          </cell>
          <cell r="I250">
            <v>18.60900611111111</v>
          </cell>
          <cell r="J250">
            <v>19.39668890946502</v>
          </cell>
          <cell r="K250">
            <v>19.058270675105483</v>
          </cell>
          <cell r="L250">
            <v>20.562870991561176</v>
          </cell>
          <cell r="M250">
            <v>20.562870991561176</v>
          </cell>
          <cell r="N250">
            <v>22.067471308016877</v>
          </cell>
        </row>
        <row r="251">
          <cell r="F251" t="str">
            <v>DE200-SDR11</v>
          </cell>
          <cell r="G251">
            <v>10.5</v>
          </cell>
          <cell r="H251">
            <v>21.25979938271605</v>
          </cell>
          <cell r="I251">
            <v>22.960583333333332</v>
          </cell>
          <cell r="J251">
            <v>23.932459876543209</v>
          </cell>
          <cell r="K251">
            <v>23.514905063291138</v>
          </cell>
          <cell r="L251">
            <v>25.371344936708855</v>
          </cell>
          <cell r="M251">
            <v>25.371344936708855</v>
          </cell>
          <cell r="N251">
            <v>27.227784810126582</v>
          </cell>
        </row>
        <row r="252">
          <cell r="F252" t="str">
            <v>DE225-SDR11</v>
          </cell>
          <cell r="G252">
            <v>13.3</v>
          </cell>
          <cell r="H252">
            <v>26.929079218106999</v>
          </cell>
          <cell r="I252">
            <v>29.083405555555554</v>
          </cell>
          <cell r="J252">
            <v>30.314449176954735</v>
          </cell>
          <cell r="K252">
            <v>29.785546413502111</v>
          </cell>
          <cell r="L252">
            <v>32.137036919831218</v>
          </cell>
          <cell r="M252">
            <v>32.137036919831218</v>
          </cell>
          <cell r="N252">
            <v>34.488527426160339</v>
          </cell>
        </row>
        <row r="253">
          <cell r="F253" t="str">
            <v>DE250-SDR11</v>
          </cell>
          <cell r="G253">
            <v>16.3</v>
          </cell>
          <cell r="H253">
            <v>33.003307613168722</v>
          </cell>
          <cell r="I253">
            <v>35.643572222222218</v>
          </cell>
          <cell r="J253">
            <v>37.152294855967078</v>
          </cell>
          <cell r="K253">
            <v>36.504090717299576</v>
          </cell>
          <cell r="L253">
            <v>39.385992616033747</v>
          </cell>
          <cell r="M253">
            <v>39.385992616033747</v>
          </cell>
          <cell r="N253">
            <v>42.267894514767939</v>
          </cell>
        </row>
        <row r="254">
          <cell r="F254" t="str">
            <v>DE280-SDR11</v>
          </cell>
          <cell r="G254">
            <v>20.5</v>
          </cell>
          <cell r="H254">
            <v>41.507227366255144</v>
          </cell>
          <cell r="I254">
            <v>44.82780555555555</v>
          </cell>
          <cell r="J254">
            <v>46.725278806584363</v>
          </cell>
          <cell r="K254">
            <v>45.910052742616031</v>
          </cell>
          <cell r="L254">
            <v>49.534530590717289</v>
          </cell>
          <cell r="M254">
            <v>49.534530590717289</v>
          </cell>
          <cell r="N254">
            <v>53.159008438818567</v>
          </cell>
        </row>
        <row r="255">
          <cell r="F255" t="str">
            <v>DE315-SDR11</v>
          </cell>
          <cell r="G255">
            <v>25.9</v>
          </cell>
          <cell r="H255">
            <v>52.440838477366249</v>
          </cell>
          <cell r="I255">
            <v>56.636105555555545</v>
          </cell>
          <cell r="J255">
            <v>59.03340102880658</v>
          </cell>
          <cell r="K255">
            <v>58.00343248945147</v>
          </cell>
          <cell r="L255">
            <v>62.582650843881844</v>
          </cell>
          <cell r="M255">
            <v>62.582650843881844</v>
          </cell>
          <cell r="N255">
            <v>67.161869198312232</v>
          </cell>
        </row>
        <row r="256">
          <cell r="F256" t="str">
            <v>DE355-SDR11</v>
          </cell>
          <cell r="G256">
            <v>32.9</v>
          </cell>
          <cell r="H256">
            <v>66.614038065843616</v>
          </cell>
          <cell r="I256">
            <v>71.943161111111095</v>
          </cell>
          <cell r="J256">
            <v>74.988374279835384</v>
          </cell>
          <cell r="K256">
            <v>73.68003586497889</v>
          </cell>
          <cell r="L256">
            <v>79.496880801687752</v>
          </cell>
          <cell r="M256">
            <v>79.496880801687752</v>
          </cell>
          <cell r="N256">
            <v>85.313725738396627</v>
          </cell>
        </row>
        <row r="257">
          <cell r="F257" t="str">
            <v>DE400-SDR11</v>
          </cell>
          <cell r="G257">
            <v>41.7</v>
          </cell>
          <cell r="H257">
            <v>84.431774691358029</v>
          </cell>
          <cell r="I257">
            <v>91.18631666666667</v>
          </cell>
          <cell r="J257">
            <v>95.04605493827161</v>
          </cell>
          <cell r="K257">
            <v>93.387765822784814</v>
          </cell>
          <cell r="L257">
            <v>100.76048417721518</v>
          </cell>
          <cell r="M257">
            <v>100.76048417721518</v>
          </cell>
          <cell r="N257">
            <v>108.13320253164558</v>
          </cell>
        </row>
        <row r="258">
          <cell r="F258" t="str">
            <v>DE450-SDR11</v>
          </cell>
          <cell r="G258">
            <v>52.8</v>
          </cell>
          <cell r="H258">
            <v>106.90641975308641</v>
          </cell>
          <cell r="I258">
            <v>115.45893333333332</v>
          </cell>
          <cell r="J258">
            <v>120.34608395061727</v>
          </cell>
          <cell r="K258">
            <v>118.24637974683543</v>
          </cell>
          <cell r="L258">
            <v>127.58162025316453</v>
          </cell>
          <cell r="M258">
            <v>127.58162025316453</v>
          </cell>
          <cell r="N258">
            <v>136.91686075949366</v>
          </cell>
        </row>
        <row r="259">
          <cell r="F259" t="str">
            <v>DE500-SDR11</v>
          </cell>
          <cell r="G259">
            <v>65.2</v>
          </cell>
          <cell r="H259">
            <v>132.01323045267489</v>
          </cell>
          <cell r="I259">
            <v>142.57428888888887</v>
          </cell>
          <cell r="J259">
            <v>148.60917942386831</v>
          </cell>
          <cell r="K259">
            <v>146.0163628691983</v>
          </cell>
          <cell r="L259">
            <v>157.54397046413499</v>
          </cell>
          <cell r="M259">
            <v>157.54397046413499</v>
          </cell>
          <cell r="N259">
            <v>169.07157805907175</v>
          </cell>
        </row>
        <row r="260">
          <cell r="F260" t="str">
            <v>DE560-SDR11</v>
          </cell>
          <cell r="G260">
            <v>81.7</v>
          </cell>
          <cell r="H260">
            <v>165.4214866255144</v>
          </cell>
          <cell r="I260">
            <v>178.65520555555554</v>
          </cell>
          <cell r="J260">
            <v>186.21733065843623</v>
          </cell>
          <cell r="K260">
            <v>182.96835654008439</v>
          </cell>
          <cell r="L260">
            <v>197.41322679324892</v>
          </cell>
          <cell r="M260">
            <v>197.41322679324892</v>
          </cell>
          <cell r="N260">
            <v>211.85809704641352</v>
          </cell>
        </row>
        <row r="261">
          <cell r="F261" t="str">
            <v>DE630-SDR11</v>
          </cell>
          <cell r="G261">
            <v>103</v>
          </cell>
          <cell r="H261">
            <v>208.54850823045268</v>
          </cell>
          <cell r="I261">
            <v>225.23238888888886</v>
          </cell>
          <cell r="J261">
            <v>234.76603497942386</v>
          </cell>
          <cell r="K261">
            <v>230.6700210970464</v>
          </cell>
          <cell r="L261">
            <v>248.88081223628689</v>
          </cell>
          <cell r="M261">
            <v>248.88081223628689</v>
          </cell>
          <cell r="N261">
            <v>267.09160337552743</v>
          </cell>
        </row>
        <row r="262">
          <cell r="F262" t="str">
            <v>DE710-SDR11</v>
          </cell>
          <cell r="G262">
            <v>131</v>
          </cell>
          <cell r="H262">
            <v>265.24130658436212</v>
          </cell>
          <cell r="I262">
            <v>286.46061111111106</v>
          </cell>
          <cell r="J262">
            <v>298.58592798353908</v>
          </cell>
          <cell r="K262">
            <v>293.37643459915608</v>
          </cell>
          <cell r="L262">
            <v>316.53773206751049</v>
          </cell>
          <cell r="M262">
            <v>316.53773206751049</v>
          </cell>
          <cell r="N262">
            <v>339.69902953586501</v>
          </cell>
        </row>
        <row r="263">
          <cell r="F263" t="str">
            <v>DE16-SDR9</v>
          </cell>
          <cell r="G263">
            <v>9.1999999999999998E-2</v>
          </cell>
          <cell r="H263">
            <v>0.18627633744855968</v>
          </cell>
          <cell r="I263">
            <v>0.20117844444444441</v>
          </cell>
          <cell r="J263">
            <v>0.2096939341563786</v>
          </cell>
          <cell r="K263">
            <v>0.20603535864978903</v>
          </cell>
          <cell r="L263">
            <v>0.22230130801687759</v>
          </cell>
          <cell r="M263">
            <v>0.22230130801687759</v>
          </cell>
          <cell r="N263">
            <v>0.23856725738396625</v>
          </cell>
        </row>
        <row r="264">
          <cell r="F264" t="str">
            <v>DE20-SDR9</v>
          </cell>
          <cell r="G264">
            <v>0.13400000000000001</v>
          </cell>
          <cell r="H264">
            <v>0.2713155349794239</v>
          </cell>
          <cell r="I264">
            <v>0.29302077777777774</v>
          </cell>
          <cell r="J264">
            <v>0.30542377366255147</v>
          </cell>
          <cell r="K264">
            <v>0.30009497890295361</v>
          </cell>
          <cell r="L264">
            <v>0.32378668776371305</v>
          </cell>
          <cell r="M264">
            <v>0.32378668776371305</v>
          </cell>
          <cell r="N264">
            <v>0.34747839662447261</v>
          </cell>
        </row>
        <row r="265">
          <cell r="F265" t="str">
            <v>DE25-SDR9</v>
          </cell>
          <cell r="G265">
            <v>0.20200000000000001</v>
          </cell>
          <cell r="H265">
            <v>0.40899804526748973</v>
          </cell>
          <cell r="I265">
            <v>0.44171788888888885</v>
          </cell>
          <cell r="J265">
            <v>0.46041494238683128</v>
          </cell>
          <cell r="K265">
            <v>0.45238198312236289</v>
          </cell>
          <cell r="L265">
            <v>0.48809635021097042</v>
          </cell>
          <cell r="M265">
            <v>0.48809635021097042</v>
          </cell>
          <cell r="N265">
            <v>0.52381071729957807</v>
          </cell>
        </row>
        <row r="266">
          <cell r="F266" t="str">
            <v>DE32-SDR9</v>
          </cell>
          <cell r="G266">
            <v>0.33100000000000002</v>
          </cell>
          <cell r="H266">
            <v>0.6701898662551441</v>
          </cell>
          <cell r="I266">
            <v>0.72380505555555552</v>
          </cell>
          <cell r="J266">
            <v>0.75444230658436218</v>
          </cell>
          <cell r="K266">
            <v>0.74127938818565398</v>
          </cell>
          <cell r="L266">
            <v>0.79980144514767926</v>
          </cell>
          <cell r="M266">
            <v>0.79980144514767926</v>
          </cell>
          <cell r="N266">
            <v>0.85832350210970476</v>
          </cell>
        </row>
        <row r="267">
          <cell r="F267" t="str">
            <v>DE40-SDR9</v>
          </cell>
          <cell r="G267">
            <v>0.51400000000000001</v>
          </cell>
          <cell r="H267">
            <v>1.0407177983539095</v>
          </cell>
          <cell r="I267">
            <v>1.1239752222222221</v>
          </cell>
          <cell r="J267">
            <v>1.1715508930041152</v>
          </cell>
          <cell r="K267">
            <v>1.1511105907172996</v>
          </cell>
          <cell r="L267">
            <v>1.2419877426160335</v>
          </cell>
          <cell r="M267">
            <v>1.2419877426160335</v>
          </cell>
          <cell r="N267">
            <v>1.3328648945147681</v>
          </cell>
        </row>
        <row r="268">
          <cell r="F268" t="str">
            <v>DE50-SDR9</v>
          </cell>
          <cell r="G268">
            <v>0.79600000000000004</v>
          </cell>
          <cell r="H268">
            <v>1.611695267489712</v>
          </cell>
          <cell r="I268">
            <v>1.7406308888888888</v>
          </cell>
          <cell r="J268">
            <v>1.8143083868312757</v>
          </cell>
          <cell r="K268">
            <v>1.7826537552742616</v>
          </cell>
          <cell r="L268">
            <v>1.9233895780590715</v>
          </cell>
          <cell r="M268">
            <v>1.9233895780590715</v>
          </cell>
          <cell r="N268">
            <v>2.0641254008438819</v>
          </cell>
        </row>
        <row r="269">
          <cell r="F269" t="str">
            <v>DE63-SDR9</v>
          </cell>
          <cell r="G269">
            <v>1.27</v>
          </cell>
          <cell r="H269">
            <v>2.5714233539094651</v>
          </cell>
          <cell r="I269">
            <v>2.7771372222222221</v>
          </cell>
          <cell r="J269">
            <v>2.8946880041152263</v>
          </cell>
          <cell r="K269">
            <v>2.8441837552742615</v>
          </cell>
          <cell r="L269">
            <v>3.0687245780590713</v>
          </cell>
          <cell r="M269">
            <v>3.0687245780590713</v>
          </cell>
          <cell r="N269">
            <v>3.293265400843882</v>
          </cell>
        </row>
        <row r="270">
          <cell r="F270" t="str">
            <v>DE75-SDR9</v>
          </cell>
          <cell r="G270">
            <v>1.78</v>
          </cell>
          <cell r="H270">
            <v>3.6040421810699588</v>
          </cell>
          <cell r="I270">
            <v>3.8923655555555552</v>
          </cell>
          <cell r="J270">
            <v>4.057121769547325</v>
          </cell>
          <cell r="K270">
            <v>3.9863362869198311</v>
          </cell>
          <cell r="L270">
            <v>4.3010470464135011</v>
          </cell>
          <cell r="M270">
            <v>4.3010470464135011</v>
          </cell>
          <cell r="N270">
            <v>4.6157578059071733</v>
          </cell>
        </row>
        <row r="271">
          <cell r="F271" t="str">
            <v>DE90-SDR9</v>
          </cell>
          <cell r="G271">
            <v>2.57</v>
          </cell>
          <cell r="H271">
            <v>5.2035889917695473</v>
          </cell>
          <cell r="I271">
            <v>5.6198761111111102</v>
          </cell>
          <cell r="J271">
            <v>5.8577544650205757</v>
          </cell>
          <cell r="K271">
            <v>5.7555529535864975</v>
          </cell>
          <cell r="L271">
            <v>6.2099387130801675</v>
          </cell>
          <cell r="M271">
            <v>6.2099387130801675</v>
          </cell>
          <cell r="N271">
            <v>6.6643244725738393</v>
          </cell>
        </row>
        <row r="272">
          <cell r="F272" t="str">
            <v>DE110-SDR9</v>
          </cell>
          <cell r="G272">
            <v>3.82</v>
          </cell>
          <cell r="H272">
            <v>7.7345174897119335</v>
          </cell>
          <cell r="I272">
            <v>8.3532788888888874</v>
          </cell>
          <cell r="J272">
            <v>8.7068568312757204</v>
          </cell>
          <cell r="K272">
            <v>8.5549464135021083</v>
          </cell>
          <cell r="L272">
            <v>9.2303369198312222</v>
          </cell>
          <cell r="M272">
            <v>9.2303369198312222</v>
          </cell>
          <cell r="N272">
            <v>9.9057274261603379</v>
          </cell>
        </row>
        <row r="273">
          <cell r="F273" t="str">
            <v>DE125-SDR9</v>
          </cell>
          <cell r="G273">
            <v>4.92</v>
          </cell>
          <cell r="H273">
            <v>9.9617345679012352</v>
          </cell>
          <cell r="I273">
            <v>10.758673333333332</v>
          </cell>
          <cell r="J273">
            <v>11.214066913580247</v>
          </cell>
          <cell r="K273">
            <v>11.018412658227847</v>
          </cell>
          <cell r="L273">
            <v>11.88828734177215</v>
          </cell>
          <cell r="M273">
            <v>11.88828734177215</v>
          </cell>
          <cell r="N273">
            <v>12.758162025316455</v>
          </cell>
        </row>
        <row r="274">
          <cell r="F274" t="str">
            <v>DE140-SDR9</v>
          </cell>
          <cell r="G274">
            <v>6.18</v>
          </cell>
          <cell r="H274">
            <v>12.51291049382716</v>
          </cell>
          <cell r="I274">
            <v>13.513943333333332</v>
          </cell>
          <cell r="J274">
            <v>14.085962098765432</v>
          </cell>
          <cell r="K274">
            <v>13.840201265822783</v>
          </cell>
          <cell r="L274">
            <v>14.932848734177211</v>
          </cell>
          <cell r="M274">
            <v>14.932848734177211</v>
          </cell>
          <cell r="N274">
            <v>16.025496202531645</v>
          </cell>
        </row>
        <row r="275">
          <cell r="F275" t="str">
            <v>DE160-SDR9</v>
          </cell>
          <cell r="G275">
            <v>8.0399999999999991</v>
          </cell>
          <cell r="H275">
            <v>16.278932098765431</v>
          </cell>
          <cell r="I275">
            <v>17.581246666666662</v>
          </cell>
          <cell r="J275">
            <v>18.325426419753086</v>
          </cell>
          <cell r="K275">
            <v>18.005698734177212</v>
          </cell>
          <cell r="L275">
            <v>19.427201265822781</v>
          </cell>
          <cell r="M275">
            <v>19.427201265822781</v>
          </cell>
          <cell r="N275">
            <v>20.848703797468353</v>
          </cell>
        </row>
        <row r="276">
          <cell r="F276" t="str">
            <v>DE180-SDR9</v>
          </cell>
          <cell r="G276">
            <v>10.199999999999999</v>
          </cell>
          <cell r="H276">
            <v>20.652376543209876</v>
          </cell>
          <cell r="I276">
            <v>22.304566666666663</v>
          </cell>
          <cell r="J276">
            <v>23.248675308641975</v>
          </cell>
          <cell r="K276">
            <v>22.843050632911389</v>
          </cell>
          <cell r="L276">
            <v>24.6464493670886</v>
          </cell>
          <cell r="M276">
            <v>24.6464493670886</v>
          </cell>
          <cell r="N276">
            <v>26.449848101265822</v>
          </cell>
        </row>
        <row r="277">
          <cell r="F277" t="str">
            <v>DE200-SDR9</v>
          </cell>
          <cell r="G277">
            <v>12.6</v>
          </cell>
          <cell r="H277">
            <v>25.511759259259257</v>
          </cell>
          <cell r="I277">
            <v>27.552699999999998</v>
          </cell>
          <cell r="J277">
            <v>28.718951851851852</v>
          </cell>
          <cell r="K277">
            <v>28.217886075949366</v>
          </cell>
          <cell r="L277">
            <v>30.445613924050626</v>
          </cell>
          <cell r="M277">
            <v>30.445613924050626</v>
          </cell>
          <cell r="N277">
            <v>32.6733417721519</v>
          </cell>
        </row>
        <row r="278">
          <cell r="F278" t="str">
            <v>DE225-SDR9</v>
          </cell>
          <cell r="G278">
            <v>15.9</v>
          </cell>
          <cell r="H278">
            <v>32.193410493827159</v>
          </cell>
          <cell r="I278">
            <v>34.768883333333328</v>
          </cell>
          <cell r="J278">
            <v>36.240582098765429</v>
          </cell>
          <cell r="K278">
            <v>35.608284810126584</v>
          </cell>
          <cell r="L278">
            <v>38.419465189873414</v>
          </cell>
          <cell r="M278">
            <v>38.419465189873414</v>
          </cell>
          <cell r="N278">
            <v>41.230645569620258</v>
          </cell>
        </row>
        <row r="279">
          <cell r="F279" t="str">
            <v>DE250-SDR9</v>
          </cell>
          <cell r="G279">
            <v>19.600000000000001</v>
          </cell>
          <cell r="H279">
            <v>39.684958847736631</v>
          </cell>
          <cell r="I279">
            <v>42.859755555555552</v>
          </cell>
          <cell r="J279">
            <v>44.673925102880659</v>
          </cell>
          <cell r="K279">
            <v>43.894489451476794</v>
          </cell>
          <cell r="L279">
            <v>47.359843881856534</v>
          </cell>
          <cell r="M279">
            <v>47.359843881856534</v>
          </cell>
          <cell r="N279">
            <v>50.825198312236289</v>
          </cell>
        </row>
        <row r="280">
          <cell r="F280" t="str">
            <v>DE280-SDR9</v>
          </cell>
          <cell r="G280">
            <v>24.6</v>
          </cell>
          <cell r="H280">
            <v>49.808672839506173</v>
          </cell>
          <cell r="I280">
            <v>53.793366666666664</v>
          </cell>
          <cell r="J280">
            <v>56.070334567901234</v>
          </cell>
          <cell r="K280">
            <v>55.09206329113924</v>
          </cell>
          <cell r="L280">
            <v>59.441436708860749</v>
          </cell>
          <cell r="M280">
            <v>59.441436708860749</v>
          </cell>
          <cell r="N280">
            <v>63.790810126582286</v>
          </cell>
        </row>
        <row r="281">
          <cell r="F281" t="str">
            <v>DE315-SDR9</v>
          </cell>
          <cell r="G281">
            <v>31.1</v>
          </cell>
          <cell r="H281">
            <v>62.96950102880659</v>
          </cell>
          <cell r="I281">
            <v>68.007061111111113</v>
          </cell>
          <cell r="J281">
            <v>70.88566687242799</v>
          </cell>
          <cell r="K281">
            <v>69.64890928270043</v>
          </cell>
          <cell r="L281">
            <v>75.147507383966229</v>
          </cell>
          <cell r="M281">
            <v>75.147507383966229</v>
          </cell>
          <cell r="N281">
            <v>80.64610548523207</v>
          </cell>
        </row>
        <row r="282">
          <cell r="F282" t="str">
            <v>DE355-SDR9</v>
          </cell>
          <cell r="G282">
            <v>39.5</v>
          </cell>
          <cell r="H282">
            <v>79.977340534979419</v>
          </cell>
          <cell r="I282">
            <v>86.375527777777776</v>
          </cell>
          <cell r="J282">
            <v>90.031634773662546</v>
          </cell>
          <cell r="K282">
            <v>88.460833333333326</v>
          </cell>
          <cell r="L282">
            <v>95.444583333333313</v>
          </cell>
          <cell r="M282">
            <v>95.444583333333313</v>
          </cell>
          <cell r="N282">
            <v>102.42833333333334</v>
          </cell>
        </row>
        <row r="283">
          <cell r="F283" t="str">
            <v>DE400-SDR9</v>
          </cell>
          <cell r="G283">
            <v>50.1</v>
          </cell>
          <cell r="H283">
            <v>101.43961419753087</v>
          </cell>
          <cell r="I283">
            <v>109.55478333333333</v>
          </cell>
          <cell r="J283">
            <v>114.19202283950618</v>
          </cell>
          <cell r="K283">
            <v>112.19968987341773</v>
          </cell>
          <cell r="L283">
            <v>121.05756012658226</v>
          </cell>
          <cell r="M283">
            <v>121.05756012658226</v>
          </cell>
          <cell r="N283">
            <v>129.91543037974685</v>
          </cell>
        </row>
        <row r="284">
          <cell r="F284" t="str">
            <v>DE450-SDR9</v>
          </cell>
          <cell r="G284">
            <v>63.4</v>
          </cell>
          <cell r="H284">
            <v>128.36869341563786</v>
          </cell>
          <cell r="I284">
            <v>138.63818888888886</v>
          </cell>
          <cell r="J284">
            <v>144.50647201646089</v>
          </cell>
          <cell r="K284">
            <v>141.98523628691981</v>
          </cell>
          <cell r="L284">
            <v>153.19459704641346</v>
          </cell>
          <cell r="M284">
            <v>153.19459704641346</v>
          </cell>
          <cell r="N284">
            <v>164.40395780590717</v>
          </cell>
        </row>
        <row r="285">
          <cell r="F285" t="str">
            <v>DE500-SDR9</v>
          </cell>
          <cell r="G285">
            <v>78.099999999999994</v>
          </cell>
          <cell r="H285">
            <v>158.13241255144032</v>
          </cell>
          <cell r="I285">
            <v>170.78300555555552</v>
          </cell>
          <cell r="J285">
            <v>178.01191584362138</v>
          </cell>
          <cell r="K285">
            <v>174.90610337552741</v>
          </cell>
          <cell r="L285">
            <v>188.71447995780585</v>
          </cell>
          <cell r="M285">
            <v>188.71447995780585</v>
          </cell>
          <cell r="N285">
            <v>202.52285654008438</v>
          </cell>
        </row>
        <row r="286">
          <cell r="F286" t="str">
            <v>DE560-SDR9</v>
          </cell>
          <cell r="G286">
            <v>98</v>
          </cell>
          <cell r="H286">
            <v>198.42479423868312</v>
          </cell>
          <cell r="I286">
            <v>214.29877777777776</v>
          </cell>
          <cell r="J286">
            <v>223.36962551440328</v>
          </cell>
          <cell r="K286">
            <v>219.47244725738395</v>
          </cell>
          <cell r="L286">
            <v>236.79921940928267</v>
          </cell>
          <cell r="M286">
            <v>236.79921940928267</v>
          </cell>
          <cell r="N286">
            <v>254.12599156118145</v>
          </cell>
        </row>
        <row r="287">
          <cell r="F287" t="str">
            <v>DE16-SDR7,4</v>
          </cell>
          <cell r="G287">
            <v>0.10299999999999999</v>
          </cell>
          <cell r="H287">
            <v>0.20854850823045265</v>
          </cell>
          <cell r="I287">
            <v>0.22523238888888886</v>
          </cell>
          <cell r="J287">
            <v>0.23476603497942386</v>
          </cell>
          <cell r="K287">
            <v>0.2306700210970464</v>
          </cell>
          <cell r="L287">
            <v>0.24888081223628686</v>
          </cell>
          <cell r="M287">
            <v>0.24888081223628686</v>
          </cell>
          <cell r="N287">
            <v>0.2670916033755274</v>
          </cell>
        </row>
        <row r="288">
          <cell r="F288" t="str">
            <v>DE20-SDR7,4</v>
          </cell>
          <cell r="G288">
            <v>0.16400000000000001</v>
          </cell>
          <cell r="H288">
            <v>0.33205781893004116</v>
          </cell>
          <cell r="I288">
            <v>0.35862244444444441</v>
          </cell>
          <cell r="J288">
            <v>0.37380223045267491</v>
          </cell>
          <cell r="K288">
            <v>0.36728042194092825</v>
          </cell>
          <cell r="L288">
            <v>0.39627624472573836</v>
          </cell>
          <cell r="M288">
            <v>0.39627624472573836</v>
          </cell>
          <cell r="N288">
            <v>0.42527206751054858</v>
          </cell>
        </row>
        <row r="289">
          <cell r="F289" t="str">
            <v>DE25-SDR7,4</v>
          </cell>
          <cell r="G289">
            <v>0.24299999999999999</v>
          </cell>
          <cell r="H289">
            <v>0.49201249999999996</v>
          </cell>
          <cell r="I289">
            <v>0.53137349999999994</v>
          </cell>
          <cell r="J289">
            <v>0.55386550000000001</v>
          </cell>
          <cell r="K289">
            <v>0.54420208860759489</v>
          </cell>
          <cell r="L289">
            <v>0.58716541139240497</v>
          </cell>
          <cell r="M289">
            <v>0.58716541139240497</v>
          </cell>
          <cell r="N289">
            <v>0.63012873417721516</v>
          </cell>
        </row>
        <row r="290">
          <cell r="F290" t="str">
            <v>DE32-SDR7,4</v>
          </cell>
          <cell r="G290">
            <v>0.39</v>
          </cell>
          <cell r="H290">
            <v>0.78964969135802476</v>
          </cell>
          <cell r="I290">
            <v>0.85282166666666659</v>
          </cell>
          <cell r="J290">
            <v>0.88891993827160498</v>
          </cell>
          <cell r="K290">
            <v>0.87341075949367086</v>
          </cell>
          <cell r="L290">
            <v>0.94236424050632894</v>
          </cell>
          <cell r="M290">
            <v>0.94236424050632894</v>
          </cell>
          <cell r="N290">
            <v>1.0113177215189875</v>
          </cell>
        </row>
        <row r="291">
          <cell r="F291" t="str">
            <v>DE40-SDR7,4</v>
          </cell>
          <cell r="G291">
            <v>0.60699999999999998</v>
          </cell>
          <cell r="H291">
            <v>1.2290188786008229</v>
          </cell>
          <cell r="I291">
            <v>1.3273403888888888</v>
          </cell>
          <cell r="J291">
            <v>1.383524109053498</v>
          </cell>
          <cell r="K291">
            <v>1.3593854641350209</v>
          </cell>
          <cell r="L291">
            <v>1.4667053691983118</v>
          </cell>
          <cell r="M291">
            <v>1.4667053691983118</v>
          </cell>
          <cell r="N291">
            <v>1.5740252742616034</v>
          </cell>
        </row>
        <row r="292">
          <cell r="F292" t="str">
            <v>DE50-SDR7,4</v>
          </cell>
          <cell r="G292">
            <v>0.94499999999999995</v>
          </cell>
          <cell r="H292">
            <v>1.9133819444444444</v>
          </cell>
          <cell r="I292">
            <v>2.0664524999999996</v>
          </cell>
          <cell r="J292">
            <v>2.1539213888888886</v>
          </cell>
          <cell r="K292">
            <v>2.1163414556962024</v>
          </cell>
          <cell r="L292">
            <v>2.2834210443037968</v>
          </cell>
          <cell r="M292">
            <v>2.2834210443037968</v>
          </cell>
          <cell r="N292">
            <v>2.4505006329113925</v>
          </cell>
        </row>
        <row r="293">
          <cell r="F293" t="str">
            <v>DE63-SDR7,4</v>
          </cell>
          <cell r="G293">
            <v>1.49</v>
          </cell>
          <cell r="H293">
            <v>3.0168667695473252</v>
          </cell>
          <cell r="I293">
            <v>3.258216111111111</v>
          </cell>
          <cell r="J293">
            <v>3.3961300205761318</v>
          </cell>
          <cell r="K293">
            <v>3.3368770042194091</v>
          </cell>
          <cell r="L293">
            <v>3.6003146624472566</v>
          </cell>
          <cell r="M293">
            <v>3.6003146624472566</v>
          </cell>
          <cell r="N293">
            <v>3.8637523206751054</v>
          </cell>
        </row>
        <row r="294">
          <cell r="F294" t="str">
            <v>DE75-SDR7,4</v>
          </cell>
          <cell r="G294">
            <v>2.12</v>
          </cell>
          <cell r="H294">
            <v>4.2924547325102882</v>
          </cell>
          <cell r="I294">
            <v>4.6358511111111111</v>
          </cell>
          <cell r="J294">
            <v>4.8320776131687246</v>
          </cell>
          <cell r="K294">
            <v>4.747771308016878</v>
          </cell>
          <cell r="L294">
            <v>5.1225953586497885</v>
          </cell>
          <cell r="M294">
            <v>5.1225953586497885</v>
          </cell>
          <cell r="N294">
            <v>5.4974194092827009</v>
          </cell>
        </row>
        <row r="295">
          <cell r="F295" t="str">
            <v>DE90-SDR7,4</v>
          </cell>
          <cell r="G295">
            <v>3.03</v>
          </cell>
          <cell r="H295">
            <v>6.1349706790123451</v>
          </cell>
          <cell r="I295">
            <v>6.6257683333333324</v>
          </cell>
          <cell r="J295">
            <v>6.9062241358024687</v>
          </cell>
          <cell r="K295">
            <v>6.7857297468354423</v>
          </cell>
          <cell r="L295">
            <v>7.3214452531645549</v>
          </cell>
          <cell r="M295">
            <v>7.3214452531645549</v>
          </cell>
          <cell r="N295">
            <v>7.857160759493671</v>
          </cell>
        </row>
        <row r="296">
          <cell r="F296" t="str">
            <v>DE110-SDR7,4</v>
          </cell>
          <cell r="G296">
            <v>4.54</v>
          </cell>
          <cell r="H296">
            <v>9.1923323045267491</v>
          </cell>
          <cell r="I296">
            <v>9.9277188888888883</v>
          </cell>
          <cell r="J296">
            <v>10.347939794238684</v>
          </cell>
          <cell r="K296">
            <v>10.167397046413502</v>
          </cell>
          <cell r="L296">
            <v>10.970086286919829</v>
          </cell>
          <cell r="M296">
            <v>10.970086286919829</v>
          </cell>
          <cell r="N296">
            <v>11.772775527426161</v>
          </cell>
        </row>
        <row r="297">
          <cell r="F297" t="str">
            <v>DE125-SDR7,4</v>
          </cell>
          <cell r="G297">
            <v>5.84</v>
          </cell>
          <cell r="H297">
            <v>11.824497942386831</v>
          </cell>
          <cell r="I297">
            <v>12.770457777777777</v>
          </cell>
          <cell r="J297">
            <v>13.311006255144033</v>
          </cell>
          <cell r="K297">
            <v>13.078766244725738</v>
          </cell>
          <cell r="L297">
            <v>14.111300421940925</v>
          </cell>
          <cell r="M297">
            <v>14.111300421940925</v>
          </cell>
          <cell r="N297">
            <v>15.143834599156119</v>
          </cell>
        </row>
        <row r="298">
          <cell r="F298" t="str">
            <v>DE140-SDR7,4</v>
          </cell>
          <cell r="G298">
            <v>7.33</v>
          </cell>
          <cell r="H298">
            <v>14.841364711934157</v>
          </cell>
          <cell r="I298">
            <v>16.028673888888889</v>
          </cell>
          <cell r="J298">
            <v>16.707136275720163</v>
          </cell>
          <cell r="K298">
            <v>16.415643248945148</v>
          </cell>
          <cell r="L298">
            <v>17.711615084388182</v>
          </cell>
          <cell r="M298">
            <v>17.711615084388182</v>
          </cell>
          <cell r="N298">
            <v>19.007586919831226</v>
          </cell>
        </row>
        <row r="299">
          <cell r="F299" t="str">
            <v>DE160-SDR7,4</v>
          </cell>
          <cell r="G299">
            <v>9.5399999999999991</v>
          </cell>
          <cell r="H299">
            <v>19.316046296296296</v>
          </cell>
          <cell r="I299">
            <v>20.861329999999995</v>
          </cell>
          <cell r="J299">
            <v>21.744349259259256</v>
          </cell>
          <cell r="K299">
            <v>21.364970886075948</v>
          </cell>
          <cell r="L299">
            <v>23.051679113924045</v>
          </cell>
          <cell r="M299">
            <v>23.051679113924045</v>
          </cell>
          <cell r="N299">
            <v>24.73838734177215</v>
          </cell>
        </row>
        <row r="300">
          <cell r="F300" t="str">
            <v>DE180-SDR7,4</v>
          </cell>
          <cell r="G300">
            <v>12.1</v>
          </cell>
          <cell r="H300">
            <v>24.499387860082305</v>
          </cell>
          <cell r="I300">
            <v>26.459338888888887</v>
          </cell>
          <cell r="J300">
            <v>27.579310905349793</v>
          </cell>
          <cell r="K300">
            <v>27.098128691983121</v>
          </cell>
          <cell r="L300">
            <v>29.237454641350205</v>
          </cell>
          <cell r="M300">
            <v>29.237454641350205</v>
          </cell>
          <cell r="N300">
            <v>31.376780590717299</v>
          </cell>
        </row>
        <row r="301">
          <cell r="F301" t="str">
            <v>DE200-SDR7,4</v>
          </cell>
          <cell r="G301">
            <v>14.9</v>
          </cell>
          <cell r="H301">
            <v>30.168667695473253</v>
          </cell>
          <cell r="I301">
            <v>32.582161111111105</v>
          </cell>
          <cell r="J301">
            <v>33.961300205761319</v>
          </cell>
          <cell r="K301">
            <v>33.368770042194093</v>
          </cell>
          <cell r="L301">
            <v>36.003146624472571</v>
          </cell>
          <cell r="M301">
            <v>36.003146624472571</v>
          </cell>
          <cell r="N301">
            <v>38.637523206751055</v>
          </cell>
        </row>
        <row r="302">
          <cell r="F302" t="str">
            <v>DE225-SDR7,4</v>
          </cell>
          <cell r="G302">
            <v>18.8</v>
          </cell>
          <cell r="H302">
            <v>38.065164609053497</v>
          </cell>
          <cell r="I302">
            <v>41.110377777777778</v>
          </cell>
          <cell r="J302">
            <v>42.850499588477369</v>
          </cell>
          <cell r="K302">
            <v>42.102877637130803</v>
          </cell>
          <cell r="L302">
            <v>45.426789029535861</v>
          </cell>
          <cell r="M302">
            <v>45.426789029535861</v>
          </cell>
          <cell r="N302">
            <v>48.750700421940934</v>
          </cell>
        </row>
        <row r="303">
          <cell r="F303" t="str">
            <v>DE250-SDR7,4</v>
          </cell>
          <cell r="G303">
            <v>23.3</v>
          </cell>
          <cell r="H303">
            <v>47.176507201646089</v>
          </cell>
          <cell r="I303">
            <v>50.950627777777775</v>
          </cell>
          <cell r="J303">
            <v>53.107268106995889</v>
          </cell>
          <cell r="K303">
            <v>52.180694092827004</v>
          </cell>
          <cell r="L303">
            <v>56.300222573839655</v>
          </cell>
          <cell r="M303">
            <v>56.300222573839655</v>
          </cell>
          <cell r="N303">
            <v>60.419751054852327</v>
          </cell>
        </row>
        <row r="304">
          <cell r="F304" t="str">
            <v>DE280-SDR7,4</v>
          </cell>
          <cell r="G304">
            <v>29.2</v>
          </cell>
          <cell r="H304">
            <v>59.122489711934158</v>
          </cell>
          <cell r="I304">
            <v>63.852288888888879</v>
          </cell>
          <cell r="J304">
            <v>66.555031275720168</v>
          </cell>
          <cell r="K304">
            <v>65.393831223628695</v>
          </cell>
          <cell r="L304">
            <v>70.556502109704624</v>
          </cell>
          <cell r="M304">
            <v>70.556502109704624</v>
          </cell>
          <cell r="N304">
            <v>75.719172995780596</v>
          </cell>
        </row>
        <row r="305">
          <cell r="F305" t="str">
            <v>DE315-SDR7,4</v>
          </cell>
          <cell r="G305">
            <v>36.9</v>
          </cell>
          <cell r="H305">
            <v>74.713009259259252</v>
          </cell>
          <cell r="I305">
            <v>80.690049999999985</v>
          </cell>
          <cell r="J305">
            <v>84.105501851851855</v>
          </cell>
          <cell r="K305">
            <v>82.638094936708853</v>
          </cell>
          <cell r="L305">
            <v>89.162155063291124</v>
          </cell>
          <cell r="M305">
            <v>89.162155063291124</v>
          </cell>
          <cell r="N305">
            <v>95.686215189873423</v>
          </cell>
        </row>
        <row r="306">
          <cell r="F306" t="str">
            <v>DE355-SDR7,4</v>
          </cell>
          <cell r="G306">
            <v>46.8</v>
          </cell>
          <cell r="H306">
            <v>94.757962962962964</v>
          </cell>
          <cell r="I306">
            <v>102.33859999999999</v>
          </cell>
          <cell r="J306">
            <v>106.67039259259259</v>
          </cell>
          <cell r="K306">
            <v>104.8092911392405</v>
          </cell>
          <cell r="L306">
            <v>113.08370886075947</v>
          </cell>
          <cell r="M306">
            <v>113.08370886075947</v>
          </cell>
          <cell r="N306">
            <v>121.35812658227847</v>
          </cell>
        </row>
        <row r="307">
          <cell r="F307" t="str">
            <v>DE400-SDR7,4</v>
          </cell>
          <cell r="G307">
            <v>59.4</v>
          </cell>
          <cell r="H307">
            <v>120.26972222222221</v>
          </cell>
          <cell r="I307">
            <v>129.89129999999997</v>
          </cell>
          <cell r="J307">
            <v>135.38934444444445</v>
          </cell>
          <cell r="K307">
            <v>133.02717721518988</v>
          </cell>
          <cell r="L307">
            <v>143.52932278481009</v>
          </cell>
          <cell r="M307">
            <v>143.52932278481009</v>
          </cell>
          <cell r="N307">
            <v>154.03146835443039</v>
          </cell>
        </row>
        <row r="308">
          <cell r="F308" t="str">
            <v>DE450-SDR7,4</v>
          </cell>
          <cell r="G308">
            <v>75.2</v>
          </cell>
          <cell r="H308">
            <v>152.26065843621399</v>
          </cell>
          <cell r="I308">
            <v>164.44151111111111</v>
          </cell>
          <cell r="J308">
            <v>171.40199835390948</v>
          </cell>
          <cell r="K308">
            <v>168.41151054852321</v>
          </cell>
          <cell r="L308">
            <v>181.70715611814344</v>
          </cell>
          <cell r="M308">
            <v>181.70715611814344</v>
          </cell>
          <cell r="N308">
            <v>195.00280168776374</v>
          </cell>
        </row>
        <row r="309">
          <cell r="F309" t="str">
            <v>DE500-SDR7,4</v>
          </cell>
          <cell r="G309">
            <v>92.8</v>
          </cell>
          <cell r="H309">
            <v>187.89613168724279</v>
          </cell>
          <cell r="I309">
            <v>202.9278222222222</v>
          </cell>
          <cell r="J309">
            <v>211.51735967078187</v>
          </cell>
          <cell r="K309">
            <v>207.826970464135</v>
          </cell>
          <cell r="L309">
            <v>224.23436286919826</v>
          </cell>
          <cell r="M309">
            <v>224.23436286919826</v>
          </cell>
          <cell r="N309">
            <v>240.64175527426161</v>
          </cell>
        </row>
        <row r="310">
          <cell r="F310" t="str">
            <v>DE16-SDR6</v>
          </cell>
          <cell r="G310">
            <v>0.125</v>
          </cell>
          <cell r="H310">
            <v>0.25309284979423868</v>
          </cell>
          <cell r="I310">
            <v>0.27334027777777775</v>
          </cell>
          <cell r="J310">
            <v>0.2849102366255144</v>
          </cell>
          <cell r="K310">
            <v>0.27993934599156117</v>
          </cell>
          <cell r="L310">
            <v>0.30203982067510543</v>
          </cell>
          <cell r="M310">
            <v>0.30203982067510543</v>
          </cell>
          <cell r="N310">
            <v>0.3241402953586498</v>
          </cell>
        </row>
        <row r="311">
          <cell r="F311" t="str">
            <v>DE20-SDR6</v>
          </cell>
          <cell r="G311">
            <v>0.182</v>
          </cell>
          <cell r="H311">
            <v>0.36850318930041154</v>
          </cell>
          <cell r="I311">
            <v>0.39798344444444439</v>
          </cell>
          <cell r="J311">
            <v>0.41482930452674893</v>
          </cell>
          <cell r="K311">
            <v>0.40759168776371307</v>
          </cell>
          <cell r="L311">
            <v>0.4397699789029535</v>
          </cell>
          <cell r="M311">
            <v>0.4397699789029535</v>
          </cell>
          <cell r="N311">
            <v>0.47194827004219408</v>
          </cell>
        </row>
        <row r="312">
          <cell r="F312" t="str">
            <v>DE25-SDR6</v>
          </cell>
          <cell r="G312">
            <v>0.28100000000000003</v>
          </cell>
          <cell r="H312">
            <v>0.56895272633744864</v>
          </cell>
          <cell r="I312">
            <v>0.61446894444444444</v>
          </cell>
          <cell r="J312">
            <v>0.64047821193415644</v>
          </cell>
          <cell r="K312">
            <v>0.62930364978902953</v>
          </cell>
          <cell r="L312">
            <v>0.67898551687763709</v>
          </cell>
          <cell r="M312">
            <v>0.67898551687763709</v>
          </cell>
          <cell r="N312">
            <v>0.72866738396624486</v>
          </cell>
        </row>
        <row r="313">
          <cell r="F313" t="str">
            <v>DE32-SDR6</v>
          </cell>
          <cell r="G313">
            <v>0.45800000000000002</v>
          </cell>
          <cell r="H313">
            <v>0.92733220164609054</v>
          </cell>
          <cell r="I313">
            <v>1.0015187777777776</v>
          </cell>
          <cell r="J313">
            <v>1.0439111069958849</v>
          </cell>
          <cell r="K313">
            <v>1.0256977637130802</v>
          </cell>
          <cell r="L313">
            <v>1.1066739029535864</v>
          </cell>
          <cell r="M313">
            <v>1.1066739029535864</v>
          </cell>
          <cell r="N313">
            <v>1.187650042194093</v>
          </cell>
        </row>
        <row r="314">
          <cell r="F314" t="str">
            <v>DE40-SDR6</v>
          </cell>
          <cell r="G314">
            <v>0.70799999999999996</v>
          </cell>
          <cell r="H314">
            <v>1.4335179012345678</v>
          </cell>
          <cell r="I314">
            <v>1.548199333333333</v>
          </cell>
          <cell r="J314">
            <v>1.6137315802469134</v>
          </cell>
          <cell r="K314">
            <v>1.5855764556962024</v>
          </cell>
          <cell r="L314">
            <v>1.7107535443037971</v>
          </cell>
          <cell r="M314">
            <v>1.7107535443037971</v>
          </cell>
          <cell r="N314">
            <v>1.8359306329113925</v>
          </cell>
        </row>
        <row r="315">
          <cell r="F315" t="str">
            <v>DE50-SDR6</v>
          </cell>
          <cell r="G315">
            <v>1.1000000000000001</v>
          </cell>
          <cell r="H315">
            <v>2.2272170781893008</v>
          </cell>
          <cell r="I315">
            <v>2.4053944444444446</v>
          </cell>
          <cell r="J315">
            <v>2.5072100823045269</v>
          </cell>
          <cell r="K315">
            <v>2.4634662447257387</v>
          </cell>
          <cell r="L315">
            <v>2.657950421940928</v>
          </cell>
          <cell r="M315">
            <v>2.657950421940928</v>
          </cell>
          <cell r="N315">
            <v>2.8524345991561186</v>
          </cell>
        </row>
        <row r="316">
          <cell r="F316" t="str">
            <v>DE63-SDR6</v>
          </cell>
          <cell r="G316">
            <v>1.74</v>
          </cell>
          <cell r="H316">
            <v>3.5230524691358025</v>
          </cell>
          <cell r="I316">
            <v>3.8048966666666661</v>
          </cell>
          <cell r="J316">
            <v>3.9659504938271604</v>
          </cell>
          <cell r="K316">
            <v>3.8967556962025314</v>
          </cell>
          <cell r="L316">
            <v>4.2043943037974678</v>
          </cell>
          <cell r="M316">
            <v>4.2043943037974678</v>
          </cell>
          <cell r="N316">
            <v>4.5120329113924056</v>
          </cell>
        </row>
        <row r="317">
          <cell r="F317" t="str">
            <v>DE75-SDR6</v>
          </cell>
          <cell r="G317">
            <v>2.4700000000000002</v>
          </cell>
          <cell r="H317">
            <v>5.0011147119341564</v>
          </cell>
          <cell r="I317">
            <v>5.4012038888888885</v>
          </cell>
          <cell r="J317">
            <v>5.6298262757201654</v>
          </cell>
          <cell r="K317">
            <v>5.5316014767932495</v>
          </cell>
          <cell r="L317">
            <v>5.9683068565400834</v>
          </cell>
          <cell r="M317">
            <v>5.9683068565400834</v>
          </cell>
          <cell r="N317">
            <v>6.4050122362869208</v>
          </cell>
        </row>
        <row r="318">
          <cell r="F318" t="str">
            <v>DE90-SDR6</v>
          </cell>
          <cell r="G318">
            <v>3.54</v>
          </cell>
          <cell r="H318">
            <v>7.1675895061728392</v>
          </cell>
          <cell r="I318">
            <v>7.7409966666666659</v>
          </cell>
          <cell r="J318">
            <v>8.0686579012345678</v>
          </cell>
          <cell r="K318">
            <v>7.9278822784810128</v>
          </cell>
          <cell r="L318">
            <v>8.5537677215189856</v>
          </cell>
          <cell r="M318">
            <v>8.5537677215189856</v>
          </cell>
          <cell r="N318">
            <v>9.1796531645569619</v>
          </cell>
        </row>
        <row r="319">
          <cell r="F319" t="str">
            <v>DE110-SDR6</v>
          </cell>
          <cell r="G319">
            <v>5.29</v>
          </cell>
          <cell r="H319">
            <v>10.710889403292182</v>
          </cell>
          <cell r="I319">
            <v>11.567760555555555</v>
          </cell>
          <cell r="J319">
            <v>12.057401213991769</v>
          </cell>
          <cell r="K319">
            <v>11.84703312236287</v>
          </cell>
          <cell r="L319">
            <v>12.782325210970463</v>
          </cell>
          <cell r="M319">
            <v>12.782325210970463</v>
          </cell>
          <cell r="N319">
            <v>13.717617299578059</v>
          </cell>
        </row>
        <row r="320">
          <cell r="F320" t="str">
            <v>DE125-SDR6</v>
          </cell>
          <cell r="G320">
            <v>6.82</v>
          </cell>
          <cell r="H320">
            <v>13.808745884773662</v>
          </cell>
          <cell r="I320">
            <v>14.913445555555555</v>
          </cell>
          <cell r="J320">
            <v>15.544702510288067</v>
          </cell>
          <cell r="K320">
            <v>15.273490717299579</v>
          </cell>
          <cell r="L320">
            <v>16.479292616033753</v>
          </cell>
          <cell r="M320">
            <v>16.479292616033753</v>
          </cell>
          <cell r="N320">
            <v>17.685094514767933</v>
          </cell>
        </row>
        <row r="321">
          <cell r="F321" t="str">
            <v>DE140-SDR6</v>
          </cell>
          <cell r="G321">
            <v>8.56</v>
          </cell>
          <cell r="H321">
            <v>17.331798353909466</v>
          </cell>
          <cell r="I321">
            <v>18.718342222222223</v>
          </cell>
          <cell r="J321">
            <v>19.510653004115227</v>
          </cell>
          <cell r="K321">
            <v>19.17024641350211</v>
          </cell>
          <cell r="L321">
            <v>20.683686919831221</v>
          </cell>
          <cell r="M321">
            <v>20.683686919831221</v>
          </cell>
          <cell r="N321">
            <v>22.197127426160339</v>
          </cell>
        </row>
        <row r="322">
          <cell r="F322" t="str">
            <v>DE160-SDR6</v>
          </cell>
          <cell r="G322">
            <v>11.2</v>
          </cell>
          <cell r="H322">
            <v>22.677119341563785</v>
          </cell>
          <cell r="I322">
            <v>24.491288888888885</v>
          </cell>
          <cell r="J322">
            <v>25.527957201646089</v>
          </cell>
          <cell r="K322">
            <v>25.08256540084388</v>
          </cell>
          <cell r="L322">
            <v>27.062767932489447</v>
          </cell>
          <cell r="M322">
            <v>27.062767932489447</v>
          </cell>
          <cell r="N322">
            <v>29.042970464135021</v>
          </cell>
        </row>
        <row r="323">
          <cell r="F323" t="str">
            <v>DE180-SDR6</v>
          </cell>
          <cell r="G323">
            <v>14.1</v>
          </cell>
          <cell r="H323">
            <v>28.548873456790123</v>
          </cell>
          <cell r="I323">
            <v>30.832783333333328</v>
          </cell>
          <cell r="J323">
            <v>32.137874691358022</v>
          </cell>
          <cell r="K323">
            <v>31.577158227848098</v>
          </cell>
          <cell r="L323">
            <v>34.070091772151891</v>
          </cell>
          <cell r="M323">
            <v>34.070091772151891</v>
          </cell>
          <cell r="N323">
            <v>36.563025316455693</v>
          </cell>
        </row>
        <row r="324">
          <cell r="F324" t="str">
            <v>DE200-SDR6</v>
          </cell>
          <cell r="G324">
            <v>17.399999999999999</v>
          </cell>
          <cell r="H324">
            <v>35.230524691358021</v>
          </cell>
          <cell r="I324">
            <v>38.048966666666658</v>
          </cell>
          <cell r="J324">
            <v>39.659504938271603</v>
          </cell>
          <cell r="K324">
            <v>38.967556962025313</v>
          </cell>
          <cell r="L324">
            <v>42.043943037974671</v>
          </cell>
          <cell r="M324">
            <v>42.043943037974671</v>
          </cell>
          <cell r="N324">
            <v>45.120329113924051</v>
          </cell>
        </row>
        <row r="325">
          <cell r="F325" t="str">
            <v>DE225-SDR6</v>
          </cell>
          <cell r="G325">
            <v>22.1</v>
          </cell>
          <cell r="H325">
            <v>44.746815843621405</v>
          </cell>
          <cell r="I325">
            <v>48.326561111111111</v>
          </cell>
          <cell r="J325">
            <v>50.37212983539095</v>
          </cell>
          <cell r="K325">
            <v>49.493276371308021</v>
          </cell>
          <cell r="L325">
            <v>53.400640295358642</v>
          </cell>
          <cell r="M325">
            <v>53.400640295358642</v>
          </cell>
          <cell r="N325">
            <v>57.308004219409291</v>
          </cell>
        </row>
        <row r="326">
          <cell r="F326" t="str">
            <v>DE250-SDR6</v>
          </cell>
          <cell r="G326">
            <v>27.2</v>
          </cell>
          <cell r="H326">
            <v>55.073004115226333</v>
          </cell>
          <cell r="I326">
            <v>59.478844444444434</v>
          </cell>
          <cell r="J326">
            <v>61.996467489711932</v>
          </cell>
          <cell r="K326">
            <v>60.914801687763706</v>
          </cell>
          <cell r="L326">
            <v>65.723864978902938</v>
          </cell>
          <cell r="M326">
            <v>65.723864978902938</v>
          </cell>
          <cell r="N326">
            <v>70.532928270042191</v>
          </cell>
        </row>
        <row r="327">
          <cell r="F327" t="str">
            <v>DE280-SDR6</v>
          </cell>
          <cell r="G327">
            <v>34.1</v>
          </cell>
          <cell r="H327">
            <v>69.043729423868314</v>
          </cell>
          <cell r="I327">
            <v>74.567227777777774</v>
          </cell>
          <cell r="J327">
            <v>77.723512551440336</v>
          </cell>
          <cell r="K327">
            <v>76.367453586497888</v>
          </cell>
          <cell r="L327">
            <v>82.396463080168772</v>
          </cell>
          <cell r="M327">
            <v>82.396463080168772</v>
          </cell>
          <cell r="N327">
            <v>88.42547257383967</v>
          </cell>
        </row>
        <row r="328">
          <cell r="F328" t="str">
            <v>DE315-SDR6</v>
          </cell>
          <cell r="G328">
            <v>43.2</v>
          </cell>
          <cell r="H328">
            <v>87.468888888888898</v>
          </cell>
          <cell r="I328">
            <v>94.466399999999993</v>
          </cell>
          <cell r="J328">
            <v>98.46497777777779</v>
          </cell>
          <cell r="K328">
            <v>96.74703797468355</v>
          </cell>
          <cell r="L328">
            <v>104.38496202531644</v>
          </cell>
          <cell r="M328">
            <v>104.38496202531644</v>
          </cell>
          <cell r="N328">
            <v>112.02288607594937</v>
          </cell>
        </row>
        <row r="329">
          <cell r="F329" t="str">
            <v>DE355-SDR6</v>
          </cell>
          <cell r="G329">
            <v>54.8</v>
          </cell>
          <cell r="H329">
            <v>110.95590534979424</v>
          </cell>
          <cell r="I329">
            <v>119.83237777777777</v>
          </cell>
          <cell r="J329">
            <v>124.90464773662551</v>
          </cell>
          <cell r="K329">
            <v>122.72540928270041</v>
          </cell>
          <cell r="L329">
            <v>132.4142573839662</v>
          </cell>
          <cell r="M329">
            <v>132.4142573839662</v>
          </cell>
          <cell r="N329">
            <v>142.10310548523208</v>
          </cell>
        </row>
        <row r="330">
          <cell r="F330" t="str">
            <v>DE400-SDR6</v>
          </cell>
          <cell r="G330">
            <v>69.599999999999994</v>
          </cell>
          <cell r="H330">
            <v>140.92209876543208</v>
          </cell>
          <cell r="I330">
            <v>152.19586666666663</v>
          </cell>
          <cell r="J330">
            <v>158.63801975308641</v>
          </cell>
          <cell r="K330">
            <v>155.87022784810125</v>
          </cell>
          <cell r="L330">
            <v>168.17577215189868</v>
          </cell>
          <cell r="M330">
            <v>168.17577215189868</v>
          </cell>
          <cell r="N330">
            <v>180.4813164556962</v>
          </cell>
        </row>
        <row r="331">
          <cell r="F331" t="str">
            <v>DE16-SDR5</v>
          </cell>
          <cell r="G331">
            <v>0.13500000000000001</v>
          </cell>
          <cell r="H331">
            <v>0.27334027777777781</v>
          </cell>
          <cell r="I331">
            <v>0.29520750000000001</v>
          </cell>
          <cell r="J331">
            <v>0.30770305555555555</v>
          </cell>
          <cell r="K331">
            <v>0.30233449367088611</v>
          </cell>
          <cell r="L331">
            <v>0.32620300632911386</v>
          </cell>
          <cell r="M331">
            <v>0.32620300632911386</v>
          </cell>
          <cell r="N331">
            <v>0.35007151898734179</v>
          </cell>
        </row>
        <row r="332">
          <cell r="F332" t="str">
            <v>DE20-SDR5</v>
          </cell>
          <cell r="G332">
            <v>0.20899999999999999</v>
          </cell>
          <cell r="H332">
            <v>0.42317124485596708</v>
          </cell>
          <cell r="I332">
            <v>0.45702494444444436</v>
          </cell>
          <cell r="J332">
            <v>0.47636991563786008</v>
          </cell>
          <cell r="K332">
            <v>0.46805858649789028</v>
          </cell>
          <cell r="L332">
            <v>0.50501058016877631</v>
          </cell>
          <cell r="M332">
            <v>0.50501058016877631</v>
          </cell>
          <cell r="N332">
            <v>0.5419625738396624</v>
          </cell>
        </row>
        <row r="333">
          <cell r="F333" t="str">
            <v>DE25-SDR5</v>
          </cell>
          <cell r="G333">
            <v>0.32300000000000001</v>
          </cell>
          <cell r="H333">
            <v>0.65399192386831273</v>
          </cell>
          <cell r="I333">
            <v>0.70631127777777769</v>
          </cell>
          <cell r="J333">
            <v>0.73620805144032919</v>
          </cell>
          <cell r="K333">
            <v>0.72336327004219414</v>
          </cell>
          <cell r="L333">
            <v>0.78047089662447244</v>
          </cell>
          <cell r="M333">
            <v>0.78047089662447244</v>
          </cell>
          <cell r="N333">
            <v>0.83757852320675108</v>
          </cell>
        </row>
        <row r="334">
          <cell r="F334" t="str">
            <v>DE32-SDR5</v>
          </cell>
          <cell r="G334">
            <v>0.52500000000000002</v>
          </cell>
          <cell r="H334">
            <v>1.0629899691358025</v>
          </cell>
          <cell r="I334">
            <v>1.1480291666666667</v>
          </cell>
          <cell r="J334">
            <v>1.1966229938271606</v>
          </cell>
          <cell r="K334">
            <v>1.1757452531645569</v>
          </cell>
          <cell r="L334">
            <v>1.2685672468354428</v>
          </cell>
          <cell r="M334">
            <v>1.2685672468354428</v>
          </cell>
          <cell r="N334">
            <v>1.3613892405063293</v>
          </cell>
        </row>
        <row r="335">
          <cell r="F335" t="str">
            <v>DE40-SDR5</v>
          </cell>
          <cell r="G335">
            <v>0.81799999999999995</v>
          </cell>
          <cell r="H335">
            <v>1.6562396090534979</v>
          </cell>
          <cell r="I335">
            <v>1.7887387777777775</v>
          </cell>
          <cell r="J335">
            <v>1.8644525884773662</v>
          </cell>
          <cell r="K335">
            <v>1.8319230801687763</v>
          </cell>
          <cell r="L335">
            <v>1.9765485864978898</v>
          </cell>
          <cell r="M335">
            <v>1.9765485864978898</v>
          </cell>
          <cell r="N335">
            <v>2.1211740928270042</v>
          </cell>
        </row>
        <row r="336">
          <cell r="F336" t="str">
            <v>DE50-SDR5</v>
          </cell>
          <cell r="G336">
            <v>1.27</v>
          </cell>
          <cell r="H336">
            <v>2.5714233539094651</v>
          </cell>
          <cell r="I336">
            <v>2.7771372222222221</v>
          </cell>
          <cell r="J336">
            <v>2.8946880041152263</v>
          </cell>
          <cell r="K336">
            <v>2.8441837552742615</v>
          </cell>
          <cell r="L336">
            <v>3.0687245780590713</v>
          </cell>
          <cell r="M336">
            <v>3.0687245780590713</v>
          </cell>
          <cell r="N336">
            <v>3.293265400843882</v>
          </cell>
        </row>
        <row r="337">
          <cell r="F337" t="str">
            <v>DE63-SDR5</v>
          </cell>
          <cell r="G337">
            <v>2.02</v>
          </cell>
          <cell r="H337">
            <v>4.0899804526748973</v>
          </cell>
          <cell r="I337">
            <v>4.4171788888888885</v>
          </cell>
          <cell r="J337">
            <v>4.6041494238683125</v>
          </cell>
          <cell r="K337">
            <v>4.5238198312236282</v>
          </cell>
          <cell r="L337">
            <v>4.8809635021097035</v>
          </cell>
          <cell r="M337">
            <v>4.8809635021097035</v>
          </cell>
          <cell r="N337">
            <v>5.2381071729957807</v>
          </cell>
        </row>
        <row r="338">
          <cell r="F338" t="str">
            <v>DE75-SDR5</v>
          </cell>
          <cell r="G338">
            <v>2.85</v>
          </cell>
          <cell r="H338">
            <v>5.7705169753086425</v>
          </cell>
          <cell r="I338">
            <v>6.2321583333333326</v>
          </cell>
          <cell r="J338">
            <v>6.4959533950617283</v>
          </cell>
          <cell r="K338">
            <v>6.3826170886075948</v>
          </cell>
          <cell r="L338">
            <v>6.8865079113924041</v>
          </cell>
          <cell r="M338">
            <v>6.8865079113924041</v>
          </cell>
          <cell r="N338">
            <v>7.3903987341772153</v>
          </cell>
        </row>
        <row r="339">
          <cell r="F339" t="str">
            <v>DE90-SDR5</v>
          </cell>
          <cell r="G339">
            <v>4.09</v>
          </cell>
          <cell r="H339">
            <v>8.2811980452674891</v>
          </cell>
          <cell r="I339">
            <v>8.9436938888888875</v>
          </cell>
          <cell r="J339">
            <v>9.3222629423868302</v>
          </cell>
          <cell r="K339">
            <v>9.1596154008438813</v>
          </cell>
          <cell r="L339">
            <v>9.8827429324894496</v>
          </cell>
          <cell r="M339">
            <v>9.8827429324894496</v>
          </cell>
          <cell r="N339">
            <v>10.605870464135021</v>
          </cell>
        </row>
        <row r="340">
          <cell r="F340" t="str">
            <v>DE110-SDR5</v>
          </cell>
          <cell r="G340">
            <v>6.1</v>
          </cell>
          <cell r="H340">
            <v>12.350931069958847</v>
          </cell>
          <cell r="I340">
            <v>13.339005555555554</v>
          </cell>
          <cell r="J340">
            <v>13.903619547325102</v>
          </cell>
          <cell r="K340">
            <v>13.661040084388185</v>
          </cell>
          <cell r="L340">
            <v>14.739543248945145</v>
          </cell>
          <cell r="M340">
            <v>14.739543248945145</v>
          </cell>
          <cell r="N340">
            <v>15.81804641350211</v>
          </cell>
        </row>
        <row r="341">
          <cell r="F341" t="str">
            <v>DE125-SDR5</v>
          </cell>
          <cell r="G341">
            <v>7.87</v>
          </cell>
          <cell r="H341">
            <v>15.934725823045268</v>
          </cell>
          <cell r="I341">
            <v>17.209503888888886</v>
          </cell>
          <cell r="J341">
            <v>17.937948497942386</v>
          </cell>
          <cell r="K341">
            <v>17.624981223628691</v>
          </cell>
          <cell r="L341">
            <v>19.016427109704637</v>
          </cell>
          <cell r="M341">
            <v>19.016427109704637</v>
          </cell>
          <cell r="N341">
            <v>20.407872995780593</v>
          </cell>
        </row>
        <row r="342">
          <cell r="F342" t="str">
            <v>DE140-SDR5</v>
          </cell>
          <cell r="G342">
            <v>9.8699999999999992</v>
          </cell>
          <cell r="H342">
            <v>19.984211419753084</v>
          </cell>
          <cell r="I342">
            <v>21.582948333333331</v>
          </cell>
          <cell r="J342">
            <v>22.496512283950615</v>
          </cell>
          <cell r="K342">
            <v>22.104010759493669</v>
          </cell>
          <cell r="L342">
            <v>23.849064240506323</v>
          </cell>
          <cell r="M342">
            <v>23.849064240506323</v>
          </cell>
          <cell r="N342">
            <v>25.594117721518987</v>
          </cell>
        </row>
        <row r="343">
          <cell r="F343" t="str">
            <v>DE160-SDR5</v>
          </cell>
          <cell r="G343">
            <v>12.9</v>
          </cell>
          <cell r="H343">
            <v>26.119182098765432</v>
          </cell>
          <cell r="I343">
            <v>28.208716666666664</v>
          </cell>
          <cell r="J343">
            <v>29.402736419753086</v>
          </cell>
          <cell r="K343">
            <v>28.889740506329115</v>
          </cell>
          <cell r="L343">
            <v>31.170509493670881</v>
          </cell>
          <cell r="M343">
            <v>31.170509493670881</v>
          </cell>
          <cell r="N343">
            <v>33.451278481012658</v>
          </cell>
        </row>
        <row r="344">
          <cell r="F344" t="str">
            <v>DE180-SDR5</v>
          </cell>
          <cell r="G344">
            <v>16.3</v>
          </cell>
          <cell r="H344">
            <v>33.003307613168722</v>
          </cell>
          <cell r="I344">
            <v>35.643572222222218</v>
          </cell>
          <cell r="J344">
            <v>37.152294855967078</v>
          </cell>
          <cell r="K344">
            <v>36.504090717299576</v>
          </cell>
          <cell r="L344">
            <v>39.385992616033747</v>
          </cell>
          <cell r="M344">
            <v>39.385992616033747</v>
          </cell>
          <cell r="N344">
            <v>42.267894514767939</v>
          </cell>
        </row>
        <row r="345">
          <cell r="F345" t="str">
            <v>DE200-SDR5</v>
          </cell>
          <cell r="G345">
            <v>20.100000000000001</v>
          </cell>
          <cell r="H345">
            <v>40.69733024691358</v>
          </cell>
          <cell r="I345">
            <v>43.953116666666666</v>
          </cell>
          <cell r="J345">
            <v>45.813566049382722</v>
          </cell>
          <cell r="K345">
            <v>45.014246835443039</v>
          </cell>
          <cell r="L345">
            <v>48.568003164556956</v>
          </cell>
          <cell r="M345">
            <v>48.568003164556956</v>
          </cell>
          <cell r="N345">
            <v>52.121759493670893</v>
          </cell>
        </row>
        <row r="346">
          <cell r="F346" t="str">
            <v>DE225-SDR5</v>
          </cell>
          <cell r="G346">
            <v>25.4</v>
          </cell>
          <cell r="H346">
            <v>51.4284670781893</v>
          </cell>
          <cell r="I346">
            <v>55.542744444444438</v>
          </cell>
          <cell r="J346">
            <v>57.893760082304524</v>
          </cell>
          <cell r="K346">
            <v>56.883675105485224</v>
          </cell>
          <cell r="L346">
            <v>61.374491561181422</v>
          </cell>
          <cell r="M346">
            <v>61.374491561181422</v>
          </cell>
          <cell r="N346">
            <v>65.865308016877634</v>
          </cell>
        </row>
        <row r="347">
          <cell r="F347" t="str">
            <v>DE250-SDR5</v>
          </cell>
          <cell r="G347">
            <v>31.4</v>
          </cell>
          <cell r="H347">
            <v>63.576923868312754</v>
          </cell>
          <cell r="I347">
            <v>68.663077777777772</v>
          </cell>
          <cell r="J347">
            <v>71.569451440329217</v>
          </cell>
          <cell r="K347">
            <v>70.320763713080169</v>
          </cell>
          <cell r="L347">
            <v>75.872402953586487</v>
          </cell>
          <cell r="M347">
            <v>75.872402953586487</v>
          </cell>
          <cell r="N347">
            <v>81.42404219409282</v>
          </cell>
        </row>
        <row r="348">
          <cell r="F348" t="str">
            <v>DE280-SDR5</v>
          </cell>
          <cell r="G348">
            <v>39.4</v>
          </cell>
          <cell r="H348">
            <v>79.774866255144033</v>
          </cell>
          <cell r="I348">
            <v>86.156855555555538</v>
          </cell>
          <cell r="J348">
            <v>89.803706584362132</v>
          </cell>
          <cell r="K348">
            <v>88.23688185654008</v>
          </cell>
          <cell r="L348">
            <v>95.202951476793231</v>
          </cell>
          <cell r="M348">
            <v>95.202951476793231</v>
          </cell>
          <cell r="N348">
            <v>102.16902109704641</v>
          </cell>
        </row>
        <row r="349">
          <cell r="F349" t="str">
            <v>DE315-SDR5</v>
          </cell>
          <cell r="G349">
            <v>49.8</v>
          </cell>
          <cell r="H349">
            <v>100.83219135802469</v>
          </cell>
          <cell r="I349">
            <v>108.89876666666665</v>
          </cell>
          <cell r="J349">
            <v>113.50823827160494</v>
          </cell>
          <cell r="K349">
            <v>111.52783544303796</v>
          </cell>
          <cell r="L349">
            <v>120.332664556962</v>
          </cell>
          <cell r="M349">
            <v>120.332664556962</v>
          </cell>
          <cell r="N349">
            <v>129.13749367088607</v>
          </cell>
        </row>
        <row r="350">
          <cell r="M350"/>
          <cell r="N350"/>
        </row>
        <row r="351">
          <cell r="M351"/>
          <cell r="N351"/>
        </row>
        <row r="352">
          <cell r="M352"/>
          <cell r="N352"/>
        </row>
        <row r="353">
          <cell r="M353"/>
          <cell r="N353"/>
        </row>
        <row r="354">
          <cell r="M354"/>
          <cell r="N354"/>
        </row>
        <row r="355">
          <cell r="M355"/>
          <cell r="N355"/>
        </row>
        <row r="356">
          <cell r="M356"/>
          <cell r="N356"/>
        </row>
        <row r="357">
          <cell r="M357"/>
          <cell r="N357"/>
        </row>
        <row r="358">
          <cell r="M358"/>
          <cell r="N358"/>
        </row>
        <row r="359">
          <cell r="M359"/>
          <cell r="N359"/>
        </row>
        <row r="360">
          <cell r="M360"/>
          <cell r="N360"/>
        </row>
        <row r="361">
          <cell r="M361"/>
          <cell r="N361"/>
        </row>
        <row r="362">
          <cell r="M362"/>
          <cell r="N362"/>
        </row>
        <row r="363">
          <cell r="M363"/>
          <cell r="N363"/>
        </row>
        <row r="364">
          <cell r="M364"/>
          <cell r="N364"/>
        </row>
        <row r="365">
          <cell r="M365"/>
          <cell r="N365"/>
        </row>
        <row r="366">
          <cell r="M366"/>
          <cell r="N366"/>
        </row>
        <row r="367">
          <cell r="M367"/>
          <cell r="N367"/>
        </row>
        <row r="368">
          <cell r="M368"/>
          <cell r="N368"/>
        </row>
        <row r="369">
          <cell r="M369"/>
          <cell r="N369"/>
        </row>
        <row r="370">
          <cell r="M370"/>
          <cell r="N370"/>
        </row>
        <row r="371">
          <cell r="M371"/>
          <cell r="N371"/>
        </row>
        <row r="372">
          <cell r="M372"/>
          <cell r="N372"/>
        </row>
        <row r="373">
          <cell r="M373"/>
          <cell r="N373"/>
        </row>
        <row r="374">
          <cell r="M374"/>
          <cell r="N374"/>
        </row>
        <row r="375">
          <cell r="M375"/>
          <cell r="N375"/>
        </row>
        <row r="376">
          <cell r="M376"/>
          <cell r="N376"/>
        </row>
        <row r="377">
          <cell r="M377"/>
          <cell r="N377"/>
        </row>
        <row r="378">
          <cell r="M378"/>
          <cell r="N378"/>
        </row>
        <row r="379">
          <cell r="M379"/>
          <cell r="N379"/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775BB4-B373-4179-B828-361AFBFC5659}">
  <dimension ref="A1:N1802"/>
  <sheetViews>
    <sheetView tabSelected="1" topLeftCell="A671" zoomScaleNormal="100" workbookViewId="0">
      <selection activeCell="C1802" sqref="C1802"/>
    </sheetView>
  </sheetViews>
  <sheetFormatPr baseColWidth="10" defaultRowHeight="14.4" x14ac:dyDescent="0.3"/>
  <cols>
    <col min="5" max="5" width="11.5546875" style="1"/>
    <col min="6" max="6" width="14.109375" customWidth="1"/>
    <col min="8" max="8" width="11.5546875" style="28"/>
    <col min="9" max="10" width="12.109375" customWidth="1"/>
    <col min="11" max="11" width="14.21875" customWidth="1"/>
    <col min="12" max="12" width="11.5546875" style="1"/>
    <col min="14" max="14" width="24.109375" customWidth="1"/>
  </cols>
  <sheetData>
    <row r="1" spans="1:14" ht="24" customHeight="1" x14ac:dyDescent="0.3">
      <c r="A1" s="3" t="s">
        <v>22</v>
      </c>
      <c r="B1" s="4" t="s">
        <v>0</v>
      </c>
      <c r="C1" s="4" t="s">
        <v>1</v>
      </c>
      <c r="D1" s="4" t="s">
        <v>2</v>
      </c>
      <c r="E1" s="5" t="s">
        <v>20</v>
      </c>
      <c r="F1" s="6" t="s">
        <v>12</v>
      </c>
      <c r="G1" s="6" t="s">
        <v>14</v>
      </c>
      <c r="H1" s="27" t="s">
        <v>19</v>
      </c>
      <c r="I1" s="6" t="s">
        <v>24</v>
      </c>
      <c r="J1" s="7" t="s">
        <v>25</v>
      </c>
      <c r="K1" s="29" t="s">
        <v>26</v>
      </c>
      <c r="L1" s="30" t="s">
        <v>27</v>
      </c>
      <c r="N1" s="29" t="s">
        <v>28</v>
      </c>
    </row>
    <row r="2" spans="1:14" x14ac:dyDescent="0.3">
      <c r="A2" s="8" t="s">
        <v>23</v>
      </c>
      <c r="B2" s="9">
        <v>63</v>
      </c>
      <c r="C2" s="9" t="s">
        <v>3</v>
      </c>
      <c r="D2" s="9">
        <v>4</v>
      </c>
      <c r="E2" s="10">
        <v>0.75</v>
      </c>
      <c r="F2" s="11" t="s">
        <v>13</v>
      </c>
      <c r="G2" s="11" t="s">
        <v>15</v>
      </c>
      <c r="H2" s="12">
        <v>46630</v>
      </c>
      <c r="I2" s="12"/>
      <c r="J2" s="13"/>
      <c r="K2" t="str">
        <f>CONCATENATE("DE",B2,"-",C2)</f>
        <v>DE63-SDR41</v>
      </c>
      <c r="L2" s="1">
        <f>VLOOKUP(K2,'[1]Tarif - Evolution Marché'!$F:$H,3,0)</f>
        <v>0.7451053497942387</v>
      </c>
      <c r="N2" s="31" t="s">
        <v>29</v>
      </c>
    </row>
    <row r="3" spans="1:14" x14ac:dyDescent="0.3">
      <c r="A3" s="14" t="s">
        <v>23</v>
      </c>
      <c r="B3" s="15">
        <v>75</v>
      </c>
      <c r="C3" s="15" t="s">
        <v>3</v>
      </c>
      <c r="D3" s="15">
        <v>4</v>
      </c>
      <c r="E3" s="16">
        <v>0.94</v>
      </c>
      <c r="F3" s="15" t="s">
        <v>13</v>
      </c>
      <c r="G3" s="15" t="s">
        <v>15</v>
      </c>
      <c r="H3" s="17">
        <v>46630</v>
      </c>
      <c r="I3" s="17"/>
      <c r="J3" s="18"/>
      <c r="K3" t="str">
        <f t="shared" ref="K3:K66" si="0">CONCATENATE("DE",B3,"-",C3)</f>
        <v>DE75-SDR41</v>
      </c>
      <c r="L3" s="1">
        <f>VLOOKUP(K3,'[1]Tarif - Evolution Marché'!$F:$H,3,0)</f>
        <v>0.93543117283950616</v>
      </c>
      <c r="N3" s="31" t="s">
        <v>30</v>
      </c>
    </row>
    <row r="4" spans="1:14" x14ac:dyDescent="0.3">
      <c r="A4" s="8" t="s">
        <v>23</v>
      </c>
      <c r="B4" s="11">
        <v>90</v>
      </c>
      <c r="C4" s="11" t="s">
        <v>3</v>
      </c>
      <c r="D4" s="11">
        <v>4</v>
      </c>
      <c r="E4" s="19">
        <v>1.31</v>
      </c>
      <c r="F4" s="11" t="s">
        <v>13</v>
      </c>
      <c r="G4" s="11" t="s">
        <v>15</v>
      </c>
      <c r="H4" s="12">
        <v>46630</v>
      </c>
      <c r="I4" s="12"/>
      <c r="J4" s="13"/>
      <c r="K4" t="str">
        <f t="shared" si="0"/>
        <v>DE90-SDR41</v>
      </c>
      <c r="L4" s="1">
        <f>VLOOKUP(K4,'[1]Tarif - Evolution Marché'!$F:$H,3,0)</f>
        <v>1.3100085905349794</v>
      </c>
      <c r="N4" s="32" t="s">
        <v>31</v>
      </c>
    </row>
    <row r="5" spans="1:14" x14ac:dyDescent="0.3">
      <c r="A5" s="14" t="s">
        <v>23</v>
      </c>
      <c r="B5" s="15">
        <v>110</v>
      </c>
      <c r="C5" s="15" t="s">
        <v>3</v>
      </c>
      <c r="D5" s="15">
        <v>4</v>
      </c>
      <c r="E5" s="16">
        <v>1.93</v>
      </c>
      <c r="F5" s="15" t="s">
        <v>13</v>
      </c>
      <c r="G5" s="15" t="s">
        <v>15</v>
      </c>
      <c r="H5" s="17">
        <v>46630</v>
      </c>
      <c r="I5" s="17"/>
      <c r="J5" s="18"/>
      <c r="K5" t="str">
        <f t="shared" si="0"/>
        <v>DE110-SDR41</v>
      </c>
      <c r="L5" s="1">
        <f>VLOOKUP(K5,'[1]Tarif - Evolution Marché'!$F:$H,3,0)</f>
        <v>1.9275551440329217</v>
      </c>
      <c r="N5" s="31" t="s">
        <v>32</v>
      </c>
    </row>
    <row r="6" spans="1:14" x14ac:dyDescent="0.3">
      <c r="A6" s="8" t="s">
        <v>23</v>
      </c>
      <c r="B6" s="11">
        <v>125</v>
      </c>
      <c r="C6" s="11" t="s">
        <v>3</v>
      </c>
      <c r="D6" s="11">
        <v>4</v>
      </c>
      <c r="E6" s="19">
        <v>2.5299999999999998</v>
      </c>
      <c r="F6" s="11" t="s">
        <v>13</v>
      </c>
      <c r="G6" s="11" t="s">
        <v>15</v>
      </c>
      <c r="H6" s="12">
        <v>46630</v>
      </c>
      <c r="I6" s="11">
        <v>2400</v>
      </c>
      <c r="J6" s="13">
        <v>2800</v>
      </c>
      <c r="K6" t="str">
        <f t="shared" si="0"/>
        <v>DE125-SDR41</v>
      </c>
      <c r="L6" s="1">
        <f>VLOOKUP(K6,'[1]Tarif - Evolution Marché'!$F:$H,3,0)</f>
        <v>2.5309284979423867</v>
      </c>
    </row>
    <row r="7" spans="1:14" x14ac:dyDescent="0.3">
      <c r="A7" s="14" t="s">
        <v>23</v>
      </c>
      <c r="B7" s="15">
        <v>140</v>
      </c>
      <c r="C7" s="15" t="s">
        <v>3</v>
      </c>
      <c r="D7" s="15">
        <v>4</v>
      </c>
      <c r="E7" s="16">
        <v>3.16</v>
      </c>
      <c r="F7" s="15" t="s">
        <v>13</v>
      </c>
      <c r="G7" s="15" t="s">
        <v>15</v>
      </c>
      <c r="H7" s="17">
        <v>46630</v>
      </c>
      <c r="I7" s="15">
        <v>1920</v>
      </c>
      <c r="J7" s="18">
        <v>2240</v>
      </c>
      <c r="K7" t="str">
        <f t="shared" si="0"/>
        <v>DE140-SDR41</v>
      </c>
      <c r="L7" s="1">
        <f>VLOOKUP(K7,'[1]Tarif - Evolution Marché'!$F:$H,3,0)</f>
        <v>3.1585987654320991</v>
      </c>
    </row>
    <row r="8" spans="1:14" x14ac:dyDescent="0.3">
      <c r="A8" s="8" t="s">
        <v>23</v>
      </c>
      <c r="B8" s="11">
        <v>160</v>
      </c>
      <c r="C8" s="11" t="s">
        <v>3</v>
      </c>
      <c r="D8" s="11">
        <v>4</v>
      </c>
      <c r="E8" s="19">
        <v>4.09</v>
      </c>
      <c r="F8" s="11" t="s">
        <v>13</v>
      </c>
      <c r="G8" s="11" t="s">
        <v>15</v>
      </c>
      <c r="H8" s="12">
        <v>46630</v>
      </c>
      <c r="I8" s="11">
        <v>1920</v>
      </c>
      <c r="J8" s="13">
        <v>2240</v>
      </c>
      <c r="K8" t="str">
        <f t="shared" si="0"/>
        <v>DE160-SDR41</v>
      </c>
      <c r="L8" s="1">
        <f>VLOOKUP(K8,'[1]Tarif - Evolution Marché'!$F:$H,3,0)</f>
        <v>4.0899804526748973</v>
      </c>
    </row>
    <row r="9" spans="1:14" x14ac:dyDescent="0.3">
      <c r="A9" s="14" t="s">
        <v>23</v>
      </c>
      <c r="B9" s="15">
        <v>180</v>
      </c>
      <c r="C9" s="15" t="s">
        <v>3</v>
      </c>
      <c r="D9" s="15">
        <v>4</v>
      </c>
      <c r="E9" s="16">
        <v>5.08</v>
      </c>
      <c r="F9" s="15" t="s">
        <v>13</v>
      </c>
      <c r="G9" s="15" t="s">
        <v>15</v>
      </c>
      <c r="H9" s="17">
        <v>46630</v>
      </c>
      <c r="I9" s="15">
        <v>1200</v>
      </c>
      <c r="J9" s="18">
        <v>1400</v>
      </c>
      <c r="K9" t="str">
        <f t="shared" si="0"/>
        <v>DE180-SDR41</v>
      </c>
      <c r="L9" s="1">
        <f>VLOOKUP(K9,'[1]Tarif - Evolution Marché'!$F:$H,3,0)</f>
        <v>5.0821044238683122</v>
      </c>
    </row>
    <row r="10" spans="1:14" x14ac:dyDescent="0.3">
      <c r="A10" s="8" t="s">
        <v>23</v>
      </c>
      <c r="B10" s="11">
        <v>200</v>
      </c>
      <c r="C10" s="11" t="s">
        <v>3</v>
      </c>
      <c r="D10" s="11">
        <v>4</v>
      </c>
      <c r="E10" s="19">
        <v>6.24</v>
      </c>
      <c r="F10" s="11" t="s">
        <v>13</v>
      </c>
      <c r="G10" s="11" t="s">
        <v>15</v>
      </c>
      <c r="H10" s="12">
        <v>46630</v>
      </c>
      <c r="I10" s="11">
        <v>960</v>
      </c>
      <c r="J10" s="13">
        <v>1120</v>
      </c>
      <c r="K10" t="str">
        <f t="shared" si="0"/>
        <v>DE200-SDR41</v>
      </c>
      <c r="L10" s="1">
        <f>VLOOKUP(K10,'[1]Tarif - Evolution Marché'!$F:$H,3,0)</f>
        <v>6.2362078189300414</v>
      </c>
    </row>
    <row r="11" spans="1:14" x14ac:dyDescent="0.3">
      <c r="A11" s="14" t="s">
        <v>23</v>
      </c>
      <c r="B11" s="15">
        <v>225</v>
      </c>
      <c r="C11" s="15" t="s">
        <v>3</v>
      </c>
      <c r="D11" s="15">
        <v>4</v>
      </c>
      <c r="E11" s="16">
        <v>7.9</v>
      </c>
      <c r="F11" s="15" t="s">
        <v>13</v>
      </c>
      <c r="G11" s="15" t="s">
        <v>15</v>
      </c>
      <c r="H11" s="17">
        <v>46630</v>
      </c>
      <c r="I11" s="15">
        <v>960</v>
      </c>
      <c r="J11" s="18">
        <v>1120</v>
      </c>
      <c r="K11" t="str">
        <f t="shared" si="0"/>
        <v>DE225-SDR41</v>
      </c>
      <c r="L11" s="1">
        <f>VLOOKUP(K11,'[1]Tarif - Evolution Marché'!$F:$H,3,0)</f>
        <v>7.896496913580247</v>
      </c>
    </row>
    <row r="12" spans="1:14" x14ac:dyDescent="0.3">
      <c r="A12" s="8" t="s">
        <v>23</v>
      </c>
      <c r="B12" s="11">
        <v>250</v>
      </c>
      <c r="C12" s="11" t="s">
        <v>3</v>
      </c>
      <c r="D12" s="11">
        <v>4</v>
      </c>
      <c r="E12" s="19">
        <v>9.8800000000000008</v>
      </c>
      <c r="F12" s="11" t="s">
        <v>13</v>
      </c>
      <c r="G12" s="11" t="s">
        <v>15</v>
      </c>
      <c r="H12" s="12">
        <v>46630</v>
      </c>
      <c r="I12" s="11">
        <v>672</v>
      </c>
      <c r="J12" s="13">
        <v>784</v>
      </c>
      <c r="K12" t="str">
        <f t="shared" si="0"/>
        <v>DE250-SDR41</v>
      </c>
      <c r="L12" s="1">
        <f>VLOOKUP(K12,'[1]Tarif - Evolution Marché'!$F:$H,3,0)</f>
        <v>9.8807448559670785</v>
      </c>
    </row>
    <row r="13" spans="1:14" x14ac:dyDescent="0.3">
      <c r="A13" s="14" t="s">
        <v>23</v>
      </c>
      <c r="B13" s="15">
        <v>280</v>
      </c>
      <c r="C13" s="15" t="s">
        <v>3</v>
      </c>
      <c r="D13" s="15">
        <v>4</v>
      </c>
      <c r="E13" s="16">
        <v>12.23</v>
      </c>
      <c r="F13" s="15" t="s">
        <v>13</v>
      </c>
      <c r="G13" s="15" t="s">
        <v>15</v>
      </c>
      <c r="H13" s="17">
        <v>46630</v>
      </c>
      <c r="I13" s="15">
        <v>672</v>
      </c>
      <c r="J13" s="18">
        <v>784</v>
      </c>
      <c r="K13" t="str">
        <f t="shared" si="0"/>
        <v>DE280-SDR41</v>
      </c>
      <c r="L13" s="1">
        <f>VLOOKUP(K13,'[1]Tarif - Evolution Marché'!$F:$H,3,0)</f>
        <v>12.229446502057613</v>
      </c>
    </row>
    <row r="14" spans="1:14" x14ac:dyDescent="0.3">
      <c r="A14" s="8" t="s">
        <v>23</v>
      </c>
      <c r="B14" s="11">
        <v>315</v>
      </c>
      <c r="C14" s="11" t="s">
        <v>3</v>
      </c>
      <c r="D14" s="11">
        <v>4</v>
      </c>
      <c r="E14" s="19">
        <v>15.37</v>
      </c>
      <c r="F14" s="11" t="s">
        <v>13</v>
      </c>
      <c r="G14" s="11" t="s">
        <v>15</v>
      </c>
      <c r="H14" s="12">
        <v>46630</v>
      </c>
      <c r="I14" s="11">
        <v>432</v>
      </c>
      <c r="J14" s="13">
        <v>504</v>
      </c>
      <c r="K14" t="str">
        <f t="shared" si="0"/>
        <v>DE315-SDR41</v>
      </c>
      <c r="L14" s="1">
        <f>VLOOKUP(K14,'[1]Tarif - Evolution Marché'!$F:$H,3,0)</f>
        <v>15.367797839506173</v>
      </c>
    </row>
    <row r="15" spans="1:14" x14ac:dyDescent="0.3">
      <c r="A15" s="14" t="s">
        <v>23</v>
      </c>
      <c r="B15" s="15">
        <v>355</v>
      </c>
      <c r="C15" s="15" t="s">
        <v>3</v>
      </c>
      <c r="D15" s="15">
        <v>4</v>
      </c>
      <c r="E15" s="16">
        <v>19.54</v>
      </c>
      <c r="F15" s="15" t="s">
        <v>13</v>
      </c>
      <c r="G15" s="15" t="s">
        <v>15</v>
      </c>
      <c r="H15" s="17">
        <v>46630</v>
      </c>
      <c r="I15" s="15">
        <v>360</v>
      </c>
      <c r="J15" s="18">
        <v>420</v>
      </c>
      <c r="K15" t="str">
        <f t="shared" si="0"/>
        <v>DE355-SDR41</v>
      </c>
      <c r="L15" s="1">
        <f>VLOOKUP(K15,'[1]Tarif - Evolution Marché'!$F:$H,3,0)</f>
        <v>19.538768004115227</v>
      </c>
    </row>
    <row r="16" spans="1:14" x14ac:dyDescent="0.3">
      <c r="A16" s="8" t="s">
        <v>23</v>
      </c>
      <c r="B16" s="11">
        <v>400</v>
      </c>
      <c r="C16" s="11" t="s">
        <v>3</v>
      </c>
      <c r="D16" s="11">
        <v>4</v>
      </c>
      <c r="E16" s="19">
        <v>24.7</v>
      </c>
      <c r="F16" s="11" t="s">
        <v>13</v>
      </c>
      <c r="G16" s="11" t="s">
        <v>15</v>
      </c>
      <c r="H16" s="12">
        <v>46630</v>
      </c>
      <c r="I16" s="11">
        <v>360</v>
      </c>
      <c r="J16" s="13">
        <v>420</v>
      </c>
      <c r="K16" t="str">
        <f t="shared" si="0"/>
        <v>DE400-SDR41</v>
      </c>
      <c r="L16" s="1">
        <f>VLOOKUP(K16,'[1]Tarif - Evolution Marché'!$F:$H,3,0)</f>
        <v>24.701862139917694</v>
      </c>
    </row>
    <row r="17" spans="1:12" x14ac:dyDescent="0.3">
      <c r="A17" s="14" t="s">
        <v>23</v>
      </c>
      <c r="B17" s="15">
        <v>450</v>
      </c>
      <c r="C17" s="15" t="s">
        <v>3</v>
      </c>
      <c r="D17" s="15">
        <v>4</v>
      </c>
      <c r="E17" s="16">
        <v>31.18</v>
      </c>
      <c r="F17" s="15" t="s">
        <v>13</v>
      </c>
      <c r="G17" s="15" t="s">
        <v>15</v>
      </c>
      <c r="H17" s="17">
        <v>46630</v>
      </c>
      <c r="I17" s="15">
        <v>192</v>
      </c>
      <c r="J17" s="18">
        <v>224</v>
      </c>
      <c r="K17" t="str">
        <f t="shared" si="0"/>
        <v>DE450-SDR41</v>
      </c>
      <c r="L17" s="1">
        <f>VLOOKUP(K17,'[1]Tarif - Evolution Marché'!$F:$H,3,0)</f>
        <v>31.181039094650206</v>
      </c>
    </row>
    <row r="18" spans="1:12" x14ac:dyDescent="0.3">
      <c r="A18" s="8" t="s">
        <v>23</v>
      </c>
      <c r="B18" s="11">
        <v>500</v>
      </c>
      <c r="C18" s="11" t="s">
        <v>3</v>
      </c>
      <c r="D18" s="11">
        <v>4</v>
      </c>
      <c r="E18" s="19">
        <v>38.880000000000003</v>
      </c>
      <c r="F18" s="11" t="s">
        <v>13</v>
      </c>
      <c r="G18" s="11" t="s">
        <v>15</v>
      </c>
      <c r="H18" s="12">
        <v>46630</v>
      </c>
      <c r="I18" s="11">
        <v>192</v>
      </c>
      <c r="J18" s="13">
        <v>224</v>
      </c>
      <c r="K18" t="str">
        <f t="shared" si="0"/>
        <v>DE500-SDR41</v>
      </c>
      <c r="L18" s="1">
        <f>VLOOKUP(K18,'[1]Tarif - Evolution Marché'!$F:$H,3,0)</f>
        <v>38.87506172839506</v>
      </c>
    </row>
    <row r="19" spans="1:12" x14ac:dyDescent="0.3">
      <c r="A19" s="14" t="s">
        <v>23</v>
      </c>
      <c r="B19" s="15">
        <v>560</v>
      </c>
      <c r="C19" s="15" t="s">
        <v>3</v>
      </c>
      <c r="D19" s="15">
        <v>4</v>
      </c>
      <c r="E19" s="16">
        <v>48.39</v>
      </c>
      <c r="F19" s="15" t="s">
        <v>13</v>
      </c>
      <c r="G19" s="15" t="s">
        <v>15</v>
      </c>
      <c r="H19" s="17">
        <v>46630</v>
      </c>
      <c r="I19" s="15">
        <v>192</v>
      </c>
      <c r="J19" s="18">
        <v>224</v>
      </c>
      <c r="K19" t="str">
        <f t="shared" si="0"/>
        <v>DE560-SDR41</v>
      </c>
      <c r="L19" s="1">
        <f>VLOOKUP(K19,'[1]Tarif - Evolution Marché'!$F:$H,3,0)</f>
        <v>48.391352880658431</v>
      </c>
    </row>
    <row r="20" spans="1:12" x14ac:dyDescent="0.3">
      <c r="A20" s="8" t="s">
        <v>23</v>
      </c>
      <c r="B20" s="11">
        <v>630</v>
      </c>
      <c r="C20" s="11" t="s">
        <v>3</v>
      </c>
      <c r="D20" s="11">
        <v>4</v>
      </c>
      <c r="E20" s="19">
        <v>61.15</v>
      </c>
      <c r="F20" s="11" t="s">
        <v>13</v>
      </c>
      <c r="G20" s="11" t="s">
        <v>15</v>
      </c>
      <c r="H20" s="12">
        <v>46630</v>
      </c>
      <c r="I20" s="11">
        <v>108</v>
      </c>
      <c r="J20" s="13">
        <v>126</v>
      </c>
      <c r="K20" t="str">
        <f t="shared" si="0"/>
        <v>DE630-SDR41</v>
      </c>
      <c r="L20" s="1">
        <f>VLOOKUP(K20,'[1]Tarif - Evolution Marché'!$F:$H,3,0)</f>
        <v>61.147232510288063</v>
      </c>
    </row>
    <row r="21" spans="1:12" x14ac:dyDescent="0.3">
      <c r="A21" s="14" t="s">
        <v>23</v>
      </c>
      <c r="B21" s="15">
        <v>710</v>
      </c>
      <c r="C21" s="15" t="s">
        <v>3</v>
      </c>
      <c r="D21" s="15">
        <v>4</v>
      </c>
      <c r="E21" s="16">
        <v>77.75</v>
      </c>
      <c r="F21" s="15" t="s">
        <v>13</v>
      </c>
      <c r="G21" s="15" t="s">
        <v>15</v>
      </c>
      <c r="H21" s="17">
        <v>46630</v>
      </c>
      <c r="I21" s="15">
        <v>108</v>
      </c>
      <c r="J21" s="18">
        <v>126</v>
      </c>
      <c r="K21" t="str">
        <f t="shared" si="0"/>
        <v>DE710-SDR41</v>
      </c>
      <c r="L21" s="1">
        <f>VLOOKUP(K21,'[1]Tarif - Evolution Marché'!$F:$H,3,0)</f>
        <v>77.750123456790121</v>
      </c>
    </row>
    <row r="22" spans="1:12" x14ac:dyDescent="0.3">
      <c r="A22" s="8" t="s">
        <v>23</v>
      </c>
      <c r="B22" s="11">
        <v>800</v>
      </c>
      <c r="C22" s="11" t="s">
        <v>3</v>
      </c>
      <c r="D22" s="11">
        <v>4</v>
      </c>
      <c r="E22" s="19">
        <v>98.6</v>
      </c>
      <c r="F22" s="11" t="s">
        <v>13</v>
      </c>
      <c r="G22" s="11" t="s">
        <v>15</v>
      </c>
      <c r="H22" s="12">
        <v>46630</v>
      </c>
      <c r="I22" s="11">
        <v>108</v>
      </c>
      <c r="J22" s="13">
        <v>126</v>
      </c>
      <c r="K22" t="str">
        <f t="shared" si="0"/>
        <v>DE800-SDR41</v>
      </c>
      <c r="L22" s="1">
        <f>VLOOKUP(K22,'[1]Tarif - Evolution Marché'!$F:$H,3,0)</f>
        <v>98.604974279835403</v>
      </c>
    </row>
    <row r="23" spans="1:12" x14ac:dyDescent="0.3">
      <c r="A23" s="14" t="s">
        <v>23</v>
      </c>
      <c r="B23" s="15">
        <v>900</v>
      </c>
      <c r="C23" s="15" t="s">
        <v>3</v>
      </c>
      <c r="D23" s="15">
        <v>4</v>
      </c>
      <c r="E23" s="16">
        <v>124.12</v>
      </c>
      <c r="F23" s="15" t="s">
        <v>13</v>
      </c>
      <c r="G23" s="15" t="s">
        <v>15</v>
      </c>
      <c r="H23" s="17">
        <v>46630</v>
      </c>
      <c r="I23" s="15">
        <v>72</v>
      </c>
      <c r="J23" s="18">
        <v>84</v>
      </c>
      <c r="K23" t="str">
        <f t="shared" si="0"/>
        <v>DE900-SDR41</v>
      </c>
      <c r="L23" s="1">
        <f>VLOOKUP(K23,'[1]Tarif - Evolution Marché'!$F:$H,3,0)</f>
        <v>124.11673353909464</v>
      </c>
    </row>
    <row r="24" spans="1:12" x14ac:dyDescent="0.3">
      <c r="A24" s="8" t="s">
        <v>23</v>
      </c>
      <c r="B24" s="11">
        <v>1000</v>
      </c>
      <c r="C24" s="11" t="s">
        <v>3</v>
      </c>
      <c r="D24" s="11">
        <v>4</v>
      </c>
      <c r="E24" s="19">
        <v>153.68</v>
      </c>
      <c r="F24" s="11" t="s">
        <v>13</v>
      </c>
      <c r="G24" s="11" t="s">
        <v>15</v>
      </c>
      <c r="H24" s="12">
        <v>46630</v>
      </c>
      <c r="I24" s="11">
        <v>48</v>
      </c>
      <c r="J24" s="13">
        <v>56</v>
      </c>
      <c r="K24" t="str">
        <f t="shared" si="0"/>
        <v>DE1000-SDR41</v>
      </c>
      <c r="L24" s="1">
        <f>VLOOKUP(K24,'[1]Tarif - Evolution Marché'!$F:$H,3,0)</f>
        <v>153.67797839506173</v>
      </c>
    </row>
    <row r="25" spans="1:12" x14ac:dyDescent="0.3">
      <c r="A25" s="14" t="s">
        <v>23</v>
      </c>
      <c r="B25" s="15">
        <v>1200</v>
      </c>
      <c r="C25" s="15" t="s">
        <v>3</v>
      </c>
      <c r="D25" s="15">
        <v>4</v>
      </c>
      <c r="E25" s="16">
        <v>220.7</v>
      </c>
      <c r="F25" s="15" t="s">
        <v>13</v>
      </c>
      <c r="G25" s="15" t="s">
        <v>15</v>
      </c>
      <c r="H25" s="17">
        <v>46630</v>
      </c>
      <c r="I25" s="15">
        <v>36</v>
      </c>
      <c r="J25" s="18">
        <v>42</v>
      </c>
      <c r="K25" t="str">
        <f t="shared" si="0"/>
        <v>DE1200-SDR41</v>
      </c>
      <c r="L25" s="1">
        <f>VLOOKUP(K25,'[1]Tarif - Evolution Marché'!$F:$H,3,0)</f>
        <v>220.69696502057613</v>
      </c>
    </row>
    <row r="26" spans="1:12" x14ac:dyDescent="0.3">
      <c r="A26" s="8" t="s">
        <v>23</v>
      </c>
      <c r="B26" s="11">
        <v>50</v>
      </c>
      <c r="C26" s="11" t="s">
        <v>4</v>
      </c>
      <c r="D26" s="11">
        <v>5</v>
      </c>
      <c r="E26" s="19">
        <v>0.59</v>
      </c>
      <c r="F26" s="11" t="s">
        <v>13</v>
      </c>
      <c r="G26" s="11" t="s">
        <v>15</v>
      </c>
      <c r="H26" s="12">
        <v>46630</v>
      </c>
      <c r="I26" s="12"/>
      <c r="J26" s="13"/>
      <c r="K26" t="str">
        <f t="shared" si="0"/>
        <v>DE50-SDR33</v>
      </c>
      <c r="L26" s="1">
        <f>VLOOKUP(K26,'[1]Tarif - Evolution Marché'!$F:$H,3,0)</f>
        <v>0.58717541152263375</v>
      </c>
    </row>
    <row r="27" spans="1:12" x14ac:dyDescent="0.3">
      <c r="A27" s="14" t="s">
        <v>23</v>
      </c>
      <c r="B27" s="15">
        <v>63</v>
      </c>
      <c r="C27" s="15" t="s">
        <v>4</v>
      </c>
      <c r="D27" s="15">
        <v>5</v>
      </c>
      <c r="E27" s="16">
        <v>0.82</v>
      </c>
      <c r="F27" s="15" t="s">
        <v>13</v>
      </c>
      <c r="G27" s="15" t="s">
        <v>15</v>
      </c>
      <c r="H27" s="17">
        <v>46630</v>
      </c>
      <c r="I27" s="17"/>
      <c r="J27" s="18"/>
      <c r="K27" t="str">
        <f t="shared" si="0"/>
        <v>DE63-SDR33</v>
      </c>
      <c r="L27" s="1">
        <f>VLOOKUP(K27,'[1]Tarif - Evolution Marché'!$F:$H,3,0)</f>
        <v>0.81597134773662561</v>
      </c>
    </row>
    <row r="28" spans="1:12" x14ac:dyDescent="0.3">
      <c r="A28" s="8" t="s">
        <v>23</v>
      </c>
      <c r="B28" s="11">
        <v>75</v>
      </c>
      <c r="C28" s="11" t="s">
        <v>4</v>
      </c>
      <c r="D28" s="11">
        <v>5</v>
      </c>
      <c r="E28" s="19">
        <v>1.1299999999999999</v>
      </c>
      <c r="F28" s="11" t="s">
        <v>13</v>
      </c>
      <c r="G28" s="11" t="s">
        <v>15</v>
      </c>
      <c r="H28" s="12">
        <v>46630</v>
      </c>
      <c r="I28" s="12"/>
      <c r="J28" s="13"/>
      <c r="K28" t="str">
        <f t="shared" si="0"/>
        <v>DE75-SDR33</v>
      </c>
      <c r="L28" s="1">
        <f>VLOOKUP(K28,'[1]Tarif - Evolution Marché'!$F:$H,3,0)</f>
        <v>1.1277817386831277</v>
      </c>
    </row>
    <row r="29" spans="1:12" x14ac:dyDescent="0.3">
      <c r="A29" s="14" t="s">
        <v>23</v>
      </c>
      <c r="B29" s="15">
        <v>90</v>
      </c>
      <c r="C29" s="15" t="s">
        <v>4</v>
      </c>
      <c r="D29" s="15">
        <v>5</v>
      </c>
      <c r="E29" s="16">
        <v>1.62</v>
      </c>
      <c r="F29" s="15" t="s">
        <v>13</v>
      </c>
      <c r="G29" s="15" t="s">
        <v>15</v>
      </c>
      <c r="H29" s="17">
        <v>46630</v>
      </c>
      <c r="I29" s="17"/>
      <c r="J29" s="18"/>
      <c r="K29" t="str">
        <f t="shared" si="0"/>
        <v>DE90-SDR33</v>
      </c>
      <c r="L29" s="1">
        <f>VLOOKUP(K29,'[1]Tarif - Evolution Marché'!$F:$H,3,0)</f>
        <v>1.6197942386831277</v>
      </c>
    </row>
    <row r="30" spans="1:12" x14ac:dyDescent="0.3">
      <c r="A30" s="8" t="s">
        <v>23</v>
      </c>
      <c r="B30" s="11">
        <v>110</v>
      </c>
      <c r="C30" s="11" t="s">
        <v>4</v>
      </c>
      <c r="D30" s="11">
        <v>5</v>
      </c>
      <c r="E30" s="19">
        <v>2.41</v>
      </c>
      <c r="F30" s="11" t="s">
        <v>13</v>
      </c>
      <c r="G30" s="11" t="s">
        <v>15</v>
      </c>
      <c r="H30" s="12">
        <v>46630</v>
      </c>
      <c r="I30" s="12"/>
      <c r="J30" s="13"/>
      <c r="K30" t="str">
        <f t="shared" si="0"/>
        <v>DE110-SDR33</v>
      </c>
      <c r="L30" s="1">
        <f>VLOOKUP(K30,'[1]Tarif - Evolution Marché'!$F:$H,3,0)</f>
        <v>2.4094439300411521</v>
      </c>
    </row>
    <row r="31" spans="1:12" x14ac:dyDescent="0.3">
      <c r="A31" s="14" t="s">
        <v>23</v>
      </c>
      <c r="B31" s="15">
        <v>125</v>
      </c>
      <c r="C31" s="15" t="s">
        <v>4</v>
      </c>
      <c r="D31" s="15">
        <v>5</v>
      </c>
      <c r="E31" s="16">
        <v>3.1</v>
      </c>
      <c r="F31" s="15" t="s">
        <v>13</v>
      </c>
      <c r="G31" s="15" t="s">
        <v>15</v>
      </c>
      <c r="H31" s="17">
        <v>46630</v>
      </c>
      <c r="I31" s="15">
        <v>2400</v>
      </c>
      <c r="J31" s="18">
        <v>2800</v>
      </c>
      <c r="K31" t="str">
        <f t="shared" si="0"/>
        <v>DE125-SDR33</v>
      </c>
      <c r="L31" s="1">
        <f>VLOOKUP(K31,'[1]Tarif - Evolution Marché'!$F:$H,3,0)</f>
        <v>3.0978564814814815</v>
      </c>
    </row>
    <row r="32" spans="1:12" x14ac:dyDescent="0.3">
      <c r="A32" s="8" t="s">
        <v>23</v>
      </c>
      <c r="B32" s="11">
        <v>140</v>
      </c>
      <c r="C32" s="11" t="s">
        <v>4</v>
      </c>
      <c r="D32" s="11">
        <v>5</v>
      </c>
      <c r="E32" s="19">
        <v>3.85</v>
      </c>
      <c r="F32" s="11" t="s">
        <v>13</v>
      </c>
      <c r="G32" s="11" t="s">
        <v>15</v>
      </c>
      <c r="H32" s="12">
        <v>46630</v>
      </c>
      <c r="I32" s="11">
        <v>1920</v>
      </c>
      <c r="J32" s="13">
        <v>2240</v>
      </c>
      <c r="K32" t="str">
        <f t="shared" si="0"/>
        <v>DE140-SDR33</v>
      </c>
      <c r="L32" s="1">
        <f>VLOOKUP(K32,'[1]Tarif - Evolution Marché'!$F:$H,3,0)</f>
        <v>3.8470113168724276</v>
      </c>
    </row>
    <row r="33" spans="1:12" x14ac:dyDescent="0.3">
      <c r="A33" s="14" t="s">
        <v>23</v>
      </c>
      <c r="B33" s="15">
        <v>160</v>
      </c>
      <c r="C33" s="15" t="s">
        <v>4</v>
      </c>
      <c r="D33" s="15">
        <v>5</v>
      </c>
      <c r="E33" s="16">
        <v>4.96</v>
      </c>
      <c r="F33" s="15" t="s">
        <v>13</v>
      </c>
      <c r="G33" s="15" t="s">
        <v>15</v>
      </c>
      <c r="H33" s="17">
        <v>46630</v>
      </c>
      <c r="I33" s="15">
        <v>1920</v>
      </c>
      <c r="J33" s="18">
        <v>2240</v>
      </c>
      <c r="K33" t="str">
        <f t="shared" si="0"/>
        <v>DE160-SDR33</v>
      </c>
      <c r="L33" s="1">
        <f>VLOOKUP(K33,'[1]Tarif - Evolution Marché'!$F:$H,3,0)</f>
        <v>4.9606198559670789</v>
      </c>
    </row>
    <row r="34" spans="1:12" x14ac:dyDescent="0.3">
      <c r="A34" s="8" t="s">
        <v>23</v>
      </c>
      <c r="B34" s="11">
        <v>180</v>
      </c>
      <c r="C34" s="11" t="s">
        <v>4</v>
      </c>
      <c r="D34" s="11">
        <v>5</v>
      </c>
      <c r="E34" s="19">
        <v>6.28</v>
      </c>
      <c r="F34" s="11" t="s">
        <v>13</v>
      </c>
      <c r="G34" s="11" t="s">
        <v>15</v>
      </c>
      <c r="H34" s="12">
        <v>46630</v>
      </c>
      <c r="I34" s="11">
        <v>1200</v>
      </c>
      <c r="J34" s="13">
        <v>1400</v>
      </c>
      <c r="K34" t="str">
        <f t="shared" si="0"/>
        <v>DE180-SDR33</v>
      </c>
      <c r="L34" s="1">
        <f>VLOOKUP(K34,'[1]Tarif - Evolution Marché'!$F:$H,3,0)</f>
        <v>6.2767026748971197</v>
      </c>
    </row>
    <row r="35" spans="1:12" x14ac:dyDescent="0.3">
      <c r="A35" s="14" t="s">
        <v>23</v>
      </c>
      <c r="B35" s="15">
        <v>200</v>
      </c>
      <c r="C35" s="15" t="s">
        <v>4</v>
      </c>
      <c r="D35" s="15">
        <v>5</v>
      </c>
      <c r="E35" s="16">
        <v>7.86</v>
      </c>
      <c r="F35" s="15" t="s">
        <v>13</v>
      </c>
      <c r="G35" s="15" t="s">
        <v>15</v>
      </c>
      <c r="H35" s="17">
        <v>46630</v>
      </c>
      <c r="I35" s="15">
        <v>960</v>
      </c>
      <c r="J35" s="18">
        <v>1120</v>
      </c>
      <c r="K35" t="str">
        <f t="shared" si="0"/>
        <v>DE200-SDR33</v>
      </c>
      <c r="L35" s="1">
        <f>VLOOKUP(K35,'[1]Tarif - Evolution Marché'!$F:$H,3,0)</f>
        <v>7.8560020576131686</v>
      </c>
    </row>
    <row r="36" spans="1:12" x14ac:dyDescent="0.3">
      <c r="A36" s="8" t="s">
        <v>23</v>
      </c>
      <c r="B36" s="11">
        <v>225</v>
      </c>
      <c r="C36" s="11" t="s">
        <v>4</v>
      </c>
      <c r="D36" s="11">
        <v>5</v>
      </c>
      <c r="E36" s="19">
        <v>9.76</v>
      </c>
      <c r="F36" s="11" t="s">
        <v>13</v>
      </c>
      <c r="G36" s="11" t="s">
        <v>15</v>
      </c>
      <c r="H36" s="12">
        <v>46630</v>
      </c>
      <c r="I36" s="11">
        <v>960</v>
      </c>
      <c r="J36" s="13">
        <v>1120</v>
      </c>
      <c r="K36" t="str">
        <f t="shared" si="0"/>
        <v>DE225-SDR33</v>
      </c>
      <c r="L36" s="1">
        <f>VLOOKUP(K36,'[1]Tarif - Evolution Marché'!$F:$H,3,0)</f>
        <v>9.7592602880658443</v>
      </c>
    </row>
    <row r="37" spans="1:12" x14ac:dyDescent="0.3">
      <c r="A37" s="14" t="s">
        <v>23</v>
      </c>
      <c r="B37" s="15">
        <v>250</v>
      </c>
      <c r="C37" s="15" t="s">
        <v>4</v>
      </c>
      <c r="D37" s="15">
        <v>5</v>
      </c>
      <c r="E37" s="16">
        <v>12.11</v>
      </c>
      <c r="F37" s="15" t="s">
        <v>13</v>
      </c>
      <c r="G37" s="15" t="s">
        <v>15</v>
      </c>
      <c r="H37" s="17">
        <v>46630</v>
      </c>
      <c r="I37" s="15">
        <v>672</v>
      </c>
      <c r="J37" s="18">
        <v>784</v>
      </c>
      <c r="K37" t="str">
        <f t="shared" si="0"/>
        <v>DE250-SDR33</v>
      </c>
      <c r="L37" s="1">
        <f>VLOOKUP(K37,'[1]Tarif - Evolution Marché'!$F:$H,3,0)</f>
        <v>12.10796193415638</v>
      </c>
    </row>
    <row r="38" spans="1:12" x14ac:dyDescent="0.3">
      <c r="A38" s="8" t="s">
        <v>23</v>
      </c>
      <c r="B38" s="11">
        <v>280</v>
      </c>
      <c r="C38" s="11" t="s">
        <v>4</v>
      </c>
      <c r="D38" s="11">
        <v>5</v>
      </c>
      <c r="E38" s="19">
        <v>15.12</v>
      </c>
      <c r="F38" s="11" t="s">
        <v>13</v>
      </c>
      <c r="G38" s="11" t="s">
        <v>15</v>
      </c>
      <c r="H38" s="12">
        <v>46630</v>
      </c>
      <c r="I38" s="11">
        <v>672</v>
      </c>
      <c r="J38" s="13">
        <v>784</v>
      </c>
      <c r="K38" t="str">
        <f t="shared" si="0"/>
        <v>DE280-SDR33</v>
      </c>
      <c r="L38" s="1">
        <f>VLOOKUP(K38,'[1]Tarif - Evolution Marché'!$F:$H,3,0)</f>
        <v>15.124828703703702</v>
      </c>
    </row>
    <row r="39" spans="1:12" x14ac:dyDescent="0.3">
      <c r="A39" s="14" t="s">
        <v>23</v>
      </c>
      <c r="B39" s="15">
        <v>315</v>
      </c>
      <c r="C39" s="15" t="s">
        <v>4</v>
      </c>
      <c r="D39" s="15">
        <v>5</v>
      </c>
      <c r="E39" s="16">
        <v>19.170000000000002</v>
      </c>
      <c r="F39" s="15" t="s">
        <v>13</v>
      </c>
      <c r="G39" s="15" t="s">
        <v>15</v>
      </c>
      <c r="H39" s="17">
        <v>46630</v>
      </c>
      <c r="I39" s="15">
        <v>432</v>
      </c>
      <c r="J39" s="18">
        <v>504</v>
      </c>
      <c r="K39" t="str">
        <f t="shared" si="0"/>
        <v>DE315-SDR33</v>
      </c>
      <c r="L39" s="1">
        <f>VLOOKUP(K39,'[1]Tarif - Evolution Marché'!$F:$H,3,0)</f>
        <v>19.174314300411524</v>
      </c>
    </row>
    <row r="40" spans="1:12" x14ac:dyDescent="0.3">
      <c r="A40" s="8" t="s">
        <v>23</v>
      </c>
      <c r="B40" s="11">
        <v>355</v>
      </c>
      <c r="C40" s="11" t="s">
        <v>4</v>
      </c>
      <c r="D40" s="11">
        <v>5</v>
      </c>
      <c r="E40" s="19">
        <v>24.3</v>
      </c>
      <c r="F40" s="11" t="s">
        <v>13</v>
      </c>
      <c r="G40" s="11" t="s">
        <v>15</v>
      </c>
      <c r="H40" s="12">
        <v>46630</v>
      </c>
      <c r="I40" s="11">
        <v>360</v>
      </c>
      <c r="J40" s="13">
        <v>420</v>
      </c>
      <c r="K40" t="str">
        <f t="shared" si="0"/>
        <v>DE355-SDR33</v>
      </c>
      <c r="L40" s="1">
        <f>VLOOKUP(K40,'[1]Tarif - Evolution Marché'!$F:$H,3,0)</f>
        <v>24.296913580246915</v>
      </c>
    </row>
    <row r="41" spans="1:12" x14ac:dyDescent="0.3">
      <c r="A41" s="14" t="s">
        <v>23</v>
      </c>
      <c r="B41" s="15">
        <v>400</v>
      </c>
      <c r="C41" s="15" t="s">
        <v>4</v>
      </c>
      <c r="D41" s="15">
        <v>5</v>
      </c>
      <c r="E41" s="16">
        <v>30.78</v>
      </c>
      <c r="F41" s="15" t="s">
        <v>13</v>
      </c>
      <c r="G41" s="15" t="s">
        <v>15</v>
      </c>
      <c r="H41" s="17">
        <v>46630</v>
      </c>
      <c r="I41" s="15">
        <v>360</v>
      </c>
      <c r="J41" s="18">
        <v>420</v>
      </c>
      <c r="K41" t="str">
        <f t="shared" si="0"/>
        <v>DE400-SDR33</v>
      </c>
      <c r="L41" s="1">
        <f>VLOOKUP(K41,'[1]Tarif - Evolution Marché'!$F:$H,3,0)</f>
        <v>30.776090534979421</v>
      </c>
    </row>
    <row r="42" spans="1:12" x14ac:dyDescent="0.3">
      <c r="A42" s="8" t="s">
        <v>23</v>
      </c>
      <c r="B42" s="11">
        <v>450</v>
      </c>
      <c r="C42" s="11" t="s">
        <v>4</v>
      </c>
      <c r="D42" s="11">
        <v>5</v>
      </c>
      <c r="E42" s="19">
        <v>38.880000000000003</v>
      </c>
      <c r="F42" s="11" t="s">
        <v>13</v>
      </c>
      <c r="G42" s="11" t="s">
        <v>15</v>
      </c>
      <c r="H42" s="12">
        <v>46630</v>
      </c>
      <c r="I42" s="11">
        <v>192</v>
      </c>
      <c r="J42" s="13">
        <v>224</v>
      </c>
      <c r="K42" t="str">
        <f t="shared" si="0"/>
        <v>DE450-SDR33</v>
      </c>
      <c r="L42" s="1">
        <f>VLOOKUP(K42,'[1]Tarif - Evolution Marché'!$F:$H,3,0)</f>
        <v>38.87506172839506</v>
      </c>
    </row>
    <row r="43" spans="1:12" x14ac:dyDescent="0.3">
      <c r="A43" s="14" t="s">
        <v>23</v>
      </c>
      <c r="B43" s="15">
        <v>500</v>
      </c>
      <c r="C43" s="15" t="s">
        <v>4</v>
      </c>
      <c r="D43" s="15">
        <v>5</v>
      </c>
      <c r="E43" s="16">
        <v>47.78</v>
      </c>
      <c r="F43" s="15" t="s">
        <v>13</v>
      </c>
      <c r="G43" s="15" t="s">
        <v>15</v>
      </c>
      <c r="H43" s="17">
        <v>46630</v>
      </c>
      <c r="I43" s="15">
        <v>192</v>
      </c>
      <c r="J43" s="18">
        <v>224</v>
      </c>
      <c r="K43" t="str">
        <f t="shared" si="0"/>
        <v>DE500-SDR33</v>
      </c>
      <c r="L43" s="1">
        <f>VLOOKUP(K43,'[1]Tarif - Evolution Marché'!$F:$H,3,0)</f>
        <v>47.783930041152267</v>
      </c>
    </row>
    <row r="44" spans="1:12" x14ac:dyDescent="0.3">
      <c r="A44" s="8" t="s">
        <v>23</v>
      </c>
      <c r="B44" s="11">
        <v>560</v>
      </c>
      <c r="C44" s="11" t="s">
        <v>4</v>
      </c>
      <c r="D44" s="11">
        <v>5</v>
      </c>
      <c r="E44" s="19">
        <v>60.13</v>
      </c>
      <c r="F44" s="11" t="s">
        <v>13</v>
      </c>
      <c r="G44" s="11" t="s">
        <v>15</v>
      </c>
      <c r="H44" s="12">
        <v>46630</v>
      </c>
      <c r="I44" s="11">
        <v>192</v>
      </c>
      <c r="J44" s="13">
        <v>224</v>
      </c>
      <c r="K44" t="str">
        <f t="shared" si="0"/>
        <v>DE560-SDR33</v>
      </c>
      <c r="L44" s="1">
        <f>VLOOKUP(K44,'[1]Tarif - Evolution Marché'!$F:$H,3,0)</f>
        <v>60.134861111111107</v>
      </c>
    </row>
    <row r="45" spans="1:12" x14ac:dyDescent="0.3">
      <c r="A45" s="14" t="s">
        <v>23</v>
      </c>
      <c r="B45" s="15">
        <v>630</v>
      </c>
      <c r="C45" s="15" t="s">
        <v>4</v>
      </c>
      <c r="D45" s="15">
        <v>5</v>
      </c>
      <c r="E45" s="16">
        <v>75.930000000000007</v>
      </c>
      <c r="F45" s="15" t="s">
        <v>13</v>
      </c>
      <c r="G45" s="15" t="s">
        <v>15</v>
      </c>
      <c r="H45" s="17">
        <v>46630</v>
      </c>
      <c r="I45" s="15">
        <v>108</v>
      </c>
      <c r="J45" s="18">
        <v>126</v>
      </c>
      <c r="K45" t="str">
        <f t="shared" si="0"/>
        <v>DE630-SDR33</v>
      </c>
      <c r="L45" s="1">
        <f>VLOOKUP(K45,'[1]Tarif - Evolution Marché'!$F:$H,3,0)</f>
        <v>75.927854938271608</v>
      </c>
    </row>
    <row r="46" spans="1:12" x14ac:dyDescent="0.3">
      <c r="A46" s="8" t="s">
        <v>23</v>
      </c>
      <c r="B46" s="11">
        <v>710</v>
      </c>
      <c r="C46" s="11" t="s">
        <v>4</v>
      </c>
      <c r="D46" s="11">
        <v>5</v>
      </c>
      <c r="E46" s="19">
        <v>96.58</v>
      </c>
      <c r="F46" s="11" t="s">
        <v>13</v>
      </c>
      <c r="G46" s="11" t="s">
        <v>15</v>
      </c>
      <c r="H46" s="12">
        <v>46630</v>
      </c>
      <c r="I46" s="11">
        <v>108</v>
      </c>
      <c r="J46" s="13">
        <v>126</v>
      </c>
      <c r="K46" t="str">
        <f t="shared" si="0"/>
        <v>DE710-SDR33</v>
      </c>
      <c r="L46" s="1">
        <f>VLOOKUP(K46,'[1]Tarif - Evolution Marché'!$F:$H,3,0)</f>
        <v>96.580231481481491</v>
      </c>
    </row>
    <row r="47" spans="1:12" x14ac:dyDescent="0.3">
      <c r="A47" s="14" t="s">
        <v>23</v>
      </c>
      <c r="B47" s="15">
        <v>800</v>
      </c>
      <c r="C47" s="15" t="s">
        <v>4</v>
      </c>
      <c r="D47" s="15">
        <v>5</v>
      </c>
      <c r="E47" s="16">
        <v>122.29</v>
      </c>
      <c r="F47" s="15" t="s">
        <v>13</v>
      </c>
      <c r="G47" s="15" t="s">
        <v>15</v>
      </c>
      <c r="H47" s="17">
        <v>46630</v>
      </c>
      <c r="I47" s="15">
        <v>108</v>
      </c>
      <c r="J47" s="18">
        <v>126</v>
      </c>
      <c r="K47" t="str">
        <f t="shared" si="0"/>
        <v>DE800-SDR33</v>
      </c>
      <c r="L47" s="1">
        <f>VLOOKUP(K47,'[1]Tarif - Evolution Marché'!$F:$H,3,0)</f>
        <v>122.29446502057613</v>
      </c>
    </row>
    <row r="48" spans="1:12" x14ac:dyDescent="0.3">
      <c r="A48" s="8" t="s">
        <v>23</v>
      </c>
      <c r="B48" s="11">
        <v>900</v>
      </c>
      <c r="C48" s="11" t="s">
        <v>4</v>
      </c>
      <c r="D48" s="11">
        <v>5</v>
      </c>
      <c r="E48" s="19">
        <v>154.69</v>
      </c>
      <c r="F48" s="11" t="s">
        <v>13</v>
      </c>
      <c r="G48" s="11" t="s">
        <v>15</v>
      </c>
      <c r="H48" s="12">
        <v>46630</v>
      </c>
      <c r="I48" s="11">
        <v>72</v>
      </c>
      <c r="J48" s="13">
        <v>84</v>
      </c>
      <c r="K48" t="str">
        <f t="shared" si="0"/>
        <v>DE900-SDR33</v>
      </c>
      <c r="L48" s="1">
        <f>VLOOKUP(K48,'[1]Tarif - Evolution Marché'!$F:$H,3,0)</f>
        <v>154.6903497942387</v>
      </c>
    </row>
    <row r="49" spans="1:12" x14ac:dyDescent="0.3">
      <c r="A49" s="14" t="s">
        <v>23</v>
      </c>
      <c r="B49" s="15">
        <v>1000</v>
      </c>
      <c r="C49" s="15" t="s">
        <v>4</v>
      </c>
      <c r="D49" s="15">
        <v>5</v>
      </c>
      <c r="E49" s="16">
        <v>190.53</v>
      </c>
      <c r="F49" s="15" t="s">
        <v>13</v>
      </c>
      <c r="G49" s="15" t="s">
        <v>15</v>
      </c>
      <c r="H49" s="17">
        <v>46630</v>
      </c>
      <c r="I49" s="15">
        <v>48</v>
      </c>
      <c r="J49" s="18">
        <v>56</v>
      </c>
      <c r="K49" t="str">
        <f t="shared" si="0"/>
        <v>DE1000-SDR33</v>
      </c>
      <c r="L49" s="1">
        <f>VLOOKUP(K49,'[1]Tarif - Evolution Marché'!$F:$H,3,0)</f>
        <v>190.52829732510287</v>
      </c>
    </row>
    <row r="50" spans="1:12" x14ac:dyDescent="0.3">
      <c r="A50" s="8" t="s">
        <v>23</v>
      </c>
      <c r="B50" s="11">
        <v>1200</v>
      </c>
      <c r="C50" s="11" t="s">
        <v>4</v>
      </c>
      <c r="D50" s="11">
        <v>5</v>
      </c>
      <c r="E50" s="19">
        <v>273.33999999999997</v>
      </c>
      <c r="F50" s="11" t="s">
        <v>13</v>
      </c>
      <c r="G50" s="11" t="s">
        <v>15</v>
      </c>
      <c r="H50" s="12">
        <v>46630</v>
      </c>
      <c r="I50" s="11">
        <v>36</v>
      </c>
      <c r="J50" s="13">
        <v>42</v>
      </c>
      <c r="K50" t="str">
        <f t="shared" si="0"/>
        <v>DE1200-SDR33</v>
      </c>
      <c r="L50" s="1">
        <f>VLOOKUP(K50,'[1]Tarif - Evolution Marché'!$F:$H,3,0)</f>
        <v>273.34027777777777</v>
      </c>
    </row>
    <row r="51" spans="1:12" x14ac:dyDescent="0.3">
      <c r="A51" s="14" t="s">
        <v>23</v>
      </c>
      <c r="B51" s="15">
        <v>40</v>
      </c>
      <c r="C51" s="15" t="s">
        <v>5</v>
      </c>
      <c r="D51" s="15">
        <v>6</v>
      </c>
      <c r="E51" s="16">
        <v>0.46</v>
      </c>
      <c r="F51" s="15" t="s">
        <v>13</v>
      </c>
      <c r="G51" s="15" t="s">
        <v>15</v>
      </c>
      <c r="H51" s="17">
        <v>46630</v>
      </c>
      <c r="I51" s="17"/>
      <c r="J51" s="18"/>
      <c r="K51" t="str">
        <f t="shared" si="0"/>
        <v>DE40-SDR26</v>
      </c>
      <c r="L51" s="1">
        <f>VLOOKUP(K51,'[1]Tarif - Evolution Marché'!$F:$H,3,0)</f>
        <v>0.46366610082304527</v>
      </c>
    </row>
    <row r="52" spans="1:12" x14ac:dyDescent="0.3">
      <c r="A52" s="8" t="s">
        <v>23</v>
      </c>
      <c r="B52" s="11">
        <v>50</v>
      </c>
      <c r="C52" s="11" t="s">
        <v>5</v>
      </c>
      <c r="D52" s="11">
        <v>6</v>
      </c>
      <c r="E52" s="19">
        <v>0.64</v>
      </c>
      <c r="F52" s="11" t="s">
        <v>13</v>
      </c>
      <c r="G52" s="11" t="s">
        <v>15</v>
      </c>
      <c r="H52" s="12">
        <v>46630</v>
      </c>
      <c r="I52" s="12"/>
      <c r="J52" s="13"/>
      <c r="K52" t="str">
        <f t="shared" si="0"/>
        <v>DE50-SDR26</v>
      </c>
      <c r="L52" s="1">
        <f>VLOOKUP(K52,'[1]Tarif - Evolution Marché'!$F:$H,3,0)</f>
        <v>0.64184346707818929</v>
      </c>
    </row>
    <row r="53" spans="1:12" x14ac:dyDescent="0.3">
      <c r="A53" s="14" t="s">
        <v>23</v>
      </c>
      <c r="B53" s="15">
        <v>63</v>
      </c>
      <c r="C53" s="15" t="s">
        <v>5</v>
      </c>
      <c r="D53" s="15">
        <v>6</v>
      </c>
      <c r="E53" s="16">
        <v>1.01</v>
      </c>
      <c r="F53" s="15" t="s">
        <v>13</v>
      </c>
      <c r="G53" s="15" t="s">
        <v>15</v>
      </c>
      <c r="H53" s="17">
        <v>46630</v>
      </c>
      <c r="I53" s="17"/>
      <c r="J53" s="18"/>
      <c r="K53" t="str">
        <f t="shared" si="0"/>
        <v>DE63-SDR26</v>
      </c>
      <c r="L53" s="1">
        <f>VLOOKUP(K53,'[1]Tarif - Evolution Marché'!$F:$H,3,0)</f>
        <v>1.0123713991769547</v>
      </c>
    </row>
    <row r="54" spans="1:12" x14ac:dyDescent="0.3">
      <c r="A54" s="8" t="s">
        <v>23</v>
      </c>
      <c r="B54" s="11">
        <v>75</v>
      </c>
      <c r="C54" s="11" t="s">
        <v>5</v>
      </c>
      <c r="D54" s="11">
        <v>6</v>
      </c>
      <c r="E54" s="19">
        <v>1.38</v>
      </c>
      <c r="F54" s="11" t="s">
        <v>13</v>
      </c>
      <c r="G54" s="11" t="s">
        <v>15</v>
      </c>
      <c r="H54" s="12">
        <v>46630</v>
      </c>
      <c r="I54" s="12"/>
      <c r="J54" s="13"/>
      <c r="K54" t="str">
        <f t="shared" si="0"/>
        <v>DE75-SDR26</v>
      </c>
      <c r="L54" s="1">
        <f>VLOOKUP(K54,'[1]Tarif - Evolution Marché'!$F:$H,3,0)</f>
        <v>1.3828993312757203</v>
      </c>
    </row>
    <row r="55" spans="1:12" x14ac:dyDescent="0.3">
      <c r="A55" s="14" t="s">
        <v>23</v>
      </c>
      <c r="B55" s="15">
        <v>90</v>
      </c>
      <c r="C55" s="15" t="s">
        <v>5</v>
      </c>
      <c r="D55" s="15">
        <v>6</v>
      </c>
      <c r="E55" s="16">
        <v>2</v>
      </c>
      <c r="F55" s="15" t="s">
        <v>13</v>
      </c>
      <c r="G55" s="15" t="s">
        <v>15</v>
      </c>
      <c r="H55" s="17">
        <v>46630</v>
      </c>
      <c r="I55" s="17"/>
      <c r="J55" s="18"/>
      <c r="K55" t="str">
        <f t="shared" si="0"/>
        <v>DE90-SDR26</v>
      </c>
      <c r="L55" s="1">
        <f>VLOOKUP(K55,'[1]Tarif - Evolution Marché'!$F:$H,3,0)</f>
        <v>2.0004458847736624</v>
      </c>
    </row>
    <row r="56" spans="1:12" x14ac:dyDescent="0.3">
      <c r="A56" s="8" t="s">
        <v>23</v>
      </c>
      <c r="B56" s="11">
        <v>110</v>
      </c>
      <c r="C56" s="11" t="s">
        <v>5</v>
      </c>
      <c r="D56" s="11">
        <v>6</v>
      </c>
      <c r="E56" s="19">
        <v>2.94</v>
      </c>
      <c r="F56" s="11" t="s">
        <v>13</v>
      </c>
      <c r="G56" s="11" t="s">
        <v>15</v>
      </c>
      <c r="H56" s="12">
        <v>46630</v>
      </c>
      <c r="I56" s="12"/>
      <c r="J56" s="13"/>
      <c r="K56" t="str">
        <f t="shared" si="0"/>
        <v>DE110-SDR26</v>
      </c>
      <c r="L56" s="1">
        <f>VLOOKUP(K56,'[1]Tarif - Evolution Marché'!$F:$H,3,0)</f>
        <v>2.9358770576131685</v>
      </c>
    </row>
    <row r="57" spans="1:12" x14ac:dyDescent="0.3">
      <c r="A57" s="14" t="s">
        <v>23</v>
      </c>
      <c r="B57" s="15">
        <v>125</v>
      </c>
      <c r="C57" s="15" t="s">
        <v>5</v>
      </c>
      <c r="D57" s="15">
        <v>6</v>
      </c>
      <c r="E57" s="16">
        <v>3.77</v>
      </c>
      <c r="F57" s="15" t="s">
        <v>13</v>
      </c>
      <c r="G57" s="15" t="s">
        <v>15</v>
      </c>
      <c r="H57" s="17">
        <v>46630</v>
      </c>
      <c r="I57" s="15">
        <v>2400</v>
      </c>
      <c r="J57" s="18">
        <v>2800</v>
      </c>
      <c r="K57" t="str">
        <f t="shared" si="0"/>
        <v>DE125-SDR26</v>
      </c>
      <c r="L57" s="1">
        <f>VLOOKUP(K57,'[1]Tarif - Evolution Marché'!$F:$H,3,0)</f>
        <v>3.7660216049382718</v>
      </c>
    </row>
    <row r="58" spans="1:12" x14ac:dyDescent="0.3">
      <c r="A58" s="8" t="s">
        <v>23</v>
      </c>
      <c r="B58" s="11">
        <v>140</v>
      </c>
      <c r="C58" s="11" t="s">
        <v>5</v>
      </c>
      <c r="D58" s="11">
        <v>6</v>
      </c>
      <c r="E58" s="19">
        <v>4.76</v>
      </c>
      <c r="F58" s="11" t="s">
        <v>13</v>
      </c>
      <c r="G58" s="11" t="s">
        <v>15</v>
      </c>
      <c r="H58" s="12">
        <v>46630</v>
      </c>
      <c r="I58" s="11">
        <v>1920</v>
      </c>
      <c r="J58" s="13">
        <v>2240</v>
      </c>
      <c r="K58" t="str">
        <f t="shared" si="0"/>
        <v>DE140-SDR26</v>
      </c>
      <c r="L58" s="1">
        <f>VLOOKUP(K58,'[1]Tarif - Evolution Marché'!$F:$H,3,0)</f>
        <v>4.7581455761316871</v>
      </c>
    </row>
    <row r="59" spans="1:12" x14ac:dyDescent="0.3">
      <c r="A59" s="14" t="s">
        <v>23</v>
      </c>
      <c r="B59" s="15">
        <v>160</v>
      </c>
      <c r="C59" s="15" t="s">
        <v>5</v>
      </c>
      <c r="D59" s="15">
        <v>6</v>
      </c>
      <c r="E59" s="16">
        <v>6.24</v>
      </c>
      <c r="F59" s="15" t="s">
        <v>13</v>
      </c>
      <c r="G59" s="15" t="s">
        <v>15</v>
      </c>
      <c r="H59" s="17">
        <v>46630</v>
      </c>
      <c r="I59" s="15">
        <v>1920</v>
      </c>
      <c r="J59" s="18">
        <v>2240</v>
      </c>
      <c r="K59" t="str">
        <f t="shared" si="0"/>
        <v>DE160-SDR26</v>
      </c>
      <c r="L59" s="1">
        <f>VLOOKUP(K59,'[1]Tarif - Evolution Marché'!$F:$H,3,0)</f>
        <v>6.2362078189300414</v>
      </c>
    </row>
    <row r="60" spans="1:12" x14ac:dyDescent="0.3">
      <c r="A60" s="8" t="s">
        <v>23</v>
      </c>
      <c r="B60" s="11">
        <v>180</v>
      </c>
      <c r="C60" s="11" t="s">
        <v>5</v>
      </c>
      <c r="D60" s="11">
        <v>6</v>
      </c>
      <c r="E60" s="19">
        <v>7.75</v>
      </c>
      <c r="F60" s="11" t="s">
        <v>13</v>
      </c>
      <c r="G60" s="11" t="s">
        <v>15</v>
      </c>
      <c r="H60" s="12">
        <v>46630</v>
      </c>
      <c r="I60" s="11">
        <v>1200</v>
      </c>
      <c r="J60" s="13">
        <v>1400</v>
      </c>
      <c r="K60" t="str">
        <f t="shared" si="0"/>
        <v>DE180-SDR26</v>
      </c>
      <c r="L60" s="1">
        <f>VLOOKUP(K60,'[1]Tarif - Evolution Marché'!$F:$H,3,0)</f>
        <v>7.7547649176954732</v>
      </c>
    </row>
    <row r="61" spans="1:12" x14ac:dyDescent="0.3">
      <c r="A61" s="14" t="s">
        <v>23</v>
      </c>
      <c r="B61" s="15">
        <v>200</v>
      </c>
      <c r="C61" s="15" t="s">
        <v>5</v>
      </c>
      <c r="D61" s="15">
        <v>6</v>
      </c>
      <c r="E61" s="16">
        <v>9.6</v>
      </c>
      <c r="F61" s="15" t="s">
        <v>13</v>
      </c>
      <c r="G61" s="15" t="s">
        <v>15</v>
      </c>
      <c r="H61" s="17">
        <v>46630</v>
      </c>
      <c r="I61" s="15">
        <v>960</v>
      </c>
      <c r="J61" s="18">
        <v>1120</v>
      </c>
      <c r="K61" t="str">
        <f t="shared" si="0"/>
        <v>DE200-SDR26</v>
      </c>
      <c r="L61" s="1">
        <f>VLOOKUP(K61,'[1]Tarif - Evolution Marché'!$F:$H,3,0)</f>
        <v>9.5972808641975309</v>
      </c>
    </row>
    <row r="62" spans="1:12" x14ac:dyDescent="0.3">
      <c r="A62" s="8" t="s">
        <v>23</v>
      </c>
      <c r="B62" s="11">
        <v>225</v>
      </c>
      <c r="C62" s="11" t="s">
        <v>5</v>
      </c>
      <c r="D62" s="11">
        <v>6</v>
      </c>
      <c r="E62" s="19">
        <v>12.07</v>
      </c>
      <c r="F62" s="11" t="s">
        <v>13</v>
      </c>
      <c r="G62" s="11" t="s">
        <v>15</v>
      </c>
      <c r="H62" s="12">
        <v>46630</v>
      </c>
      <c r="I62" s="11">
        <v>960</v>
      </c>
      <c r="J62" s="13">
        <v>1120</v>
      </c>
      <c r="K62" t="str">
        <f t="shared" si="0"/>
        <v>DE225-SDR26</v>
      </c>
      <c r="L62" s="1">
        <f>VLOOKUP(K62,'[1]Tarif - Evolution Marché'!$F:$H,3,0)</f>
        <v>12.067467078189301</v>
      </c>
    </row>
    <row r="63" spans="1:12" x14ac:dyDescent="0.3">
      <c r="A63" s="14" t="s">
        <v>23</v>
      </c>
      <c r="B63" s="15">
        <v>250</v>
      </c>
      <c r="C63" s="15" t="s">
        <v>5</v>
      </c>
      <c r="D63" s="15">
        <v>6</v>
      </c>
      <c r="E63" s="16">
        <v>14.94</v>
      </c>
      <c r="F63" s="15" t="s">
        <v>13</v>
      </c>
      <c r="G63" s="15" t="s">
        <v>15</v>
      </c>
      <c r="H63" s="17">
        <v>46630</v>
      </c>
      <c r="I63" s="15">
        <v>672</v>
      </c>
      <c r="J63" s="18">
        <v>784</v>
      </c>
      <c r="K63" t="str">
        <f t="shared" si="0"/>
        <v>DE250-SDR26</v>
      </c>
      <c r="L63" s="1">
        <f>VLOOKUP(K63,'[1]Tarif - Evolution Marché'!$F:$H,3,0)</f>
        <v>14.942601851851851</v>
      </c>
    </row>
    <row r="64" spans="1:12" x14ac:dyDescent="0.3">
      <c r="A64" s="8" t="s">
        <v>23</v>
      </c>
      <c r="B64" s="11">
        <v>280</v>
      </c>
      <c r="C64" s="11" t="s">
        <v>5</v>
      </c>
      <c r="D64" s="11">
        <v>6</v>
      </c>
      <c r="E64" s="19">
        <v>18.63</v>
      </c>
      <c r="F64" s="11" t="s">
        <v>13</v>
      </c>
      <c r="G64" s="11" t="s">
        <v>15</v>
      </c>
      <c r="H64" s="12">
        <v>46630</v>
      </c>
      <c r="I64" s="11">
        <v>672</v>
      </c>
      <c r="J64" s="13">
        <v>784</v>
      </c>
      <c r="K64" t="str">
        <f t="shared" si="0"/>
        <v>DE280-SDR26</v>
      </c>
      <c r="L64" s="1">
        <f>VLOOKUP(K64,'[1]Tarif - Evolution Marché'!$F:$H,3,0)</f>
        <v>18.627633744855967</v>
      </c>
    </row>
    <row r="65" spans="1:12" x14ac:dyDescent="0.3">
      <c r="A65" s="14" t="s">
        <v>23</v>
      </c>
      <c r="B65" s="15">
        <v>315</v>
      </c>
      <c r="C65" s="15" t="s">
        <v>5</v>
      </c>
      <c r="D65" s="15">
        <v>6</v>
      </c>
      <c r="E65" s="16">
        <v>23.69</v>
      </c>
      <c r="F65" s="15" t="s">
        <v>13</v>
      </c>
      <c r="G65" s="15" t="s">
        <v>15</v>
      </c>
      <c r="H65" s="17">
        <v>46630</v>
      </c>
      <c r="I65" s="15">
        <v>432</v>
      </c>
      <c r="J65" s="18">
        <v>504</v>
      </c>
      <c r="K65" t="str">
        <f t="shared" si="0"/>
        <v>DE315-SDR26</v>
      </c>
      <c r="L65" s="1">
        <f>VLOOKUP(K65,'[1]Tarif - Evolution Marché'!$F:$H,3,0)</f>
        <v>23.689490740740741</v>
      </c>
    </row>
    <row r="66" spans="1:12" x14ac:dyDescent="0.3">
      <c r="A66" s="8" t="s">
        <v>23</v>
      </c>
      <c r="B66" s="11">
        <v>355</v>
      </c>
      <c r="C66" s="11" t="s">
        <v>5</v>
      </c>
      <c r="D66" s="11">
        <v>6</v>
      </c>
      <c r="E66" s="19">
        <v>29.97</v>
      </c>
      <c r="F66" s="11" t="s">
        <v>13</v>
      </c>
      <c r="G66" s="11" t="s">
        <v>15</v>
      </c>
      <c r="H66" s="12">
        <v>46630</v>
      </c>
      <c r="I66" s="11">
        <v>360</v>
      </c>
      <c r="J66" s="13">
        <v>420</v>
      </c>
      <c r="K66" t="str">
        <f t="shared" si="0"/>
        <v>DE355-SDR26</v>
      </c>
      <c r="L66" s="1">
        <f>VLOOKUP(K66,'[1]Tarif - Evolution Marché'!$F:$H,3,0)</f>
        <v>29.966193415637861</v>
      </c>
    </row>
    <row r="67" spans="1:12" x14ac:dyDescent="0.3">
      <c r="A67" s="14" t="s">
        <v>23</v>
      </c>
      <c r="B67" s="15">
        <v>400</v>
      </c>
      <c r="C67" s="15" t="s">
        <v>5</v>
      </c>
      <c r="D67" s="15">
        <v>6</v>
      </c>
      <c r="E67" s="16">
        <v>38.07</v>
      </c>
      <c r="F67" s="15" t="s">
        <v>13</v>
      </c>
      <c r="G67" s="15" t="s">
        <v>15</v>
      </c>
      <c r="H67" s="17">
        <v>46630</v>
      </c>
      <c r="I67" s="15">
        <v>360</v>
      </c>
      <c r="J67" s="18">
        <v>420</v>
      </c>
      <c r="K67" t="str">
        <f t="shared" ref="K67:K130" si="1">CONCATENATE("DE",B67,"-",C67)</f>
        <v>DE400-SDR26</v>
      </c>
      <c r="L67" s="1">
        <f>VLOOKUP(K67,'[1]Tarif - Evolution Marché'!$F:$H,3,0)</f>
        <v>38.065164609053497</v>
      </c>
    </row>
    <row r="68" spans="1:12" x14ac:dyDescent="0.3">
      <c r="A68" s="8" t="s">
        <v>23</v>
      </c>
      <c r="B68" s="11">
        <v>450</v>
      </c>
      <c r="C68" s="11" t="s">
        <v>5</v>
      </c>
      <c r="D68" s="11">
        <v>6</v>
      </c>
      <c r="E68" s="19">
        <v>47.99</v>
      </c>
      <c r="F68" s="11" t="s">
        <v>13</v>
      </c>
      <c r="G68" s="11" t="s">
        <v>15</v>
      </c>
      <c r="H68" s="12">
        <v>46630</v>
      </c>
      <c r="I68" s="11">
        <v>192</v>
      </c>
      <c r="J68" s="13">
        <v>224</v>
      </c>
      <c r="K68" t="str">
        <f t="shared" si="1"/>
        <v>DE450-SDR26</v>
      </c>
      <c r="L68" s="1">
        <f>VLOOKUP(K68,'[1]Tarif - Evolution Marché'!$F:$H,3,0)</f>
        <v>47.986404320987653</v>
      </c>
    </row>
    <row r="69" spans="1:12" x14ac:dyDescent="0.3">
      <c r="A69" s="14" t="s">
        <v>23</v>
      </c>
      <c r="B69" s="15">
        <v>500</v>
      </c>
      <c r="C69" s="15" t="s">
        <v>5</v>
      </c>
      <c r="D69" s="15">
        <v>6</v>
      </c>
      <c r="E69" s="16">
        <v>59.12</v>
      </c>
      <c r="F69" s="15" t="s">
        <v>13</v>
      </c>
      <c r="G69" s="15" t="s">
        <v>15</v>
      </c>
      <c r="H69" s="17">
        <v>46630</v>
      </c>
      <c r="I69" s="15">
        <v>192</v>
      </c>
      <c r="J69" s="18">
        <v>224</v>
      </c>
      <c r="K69" t="str">
        <f t="shared" si="1"/>
        <v>DE500-SDR26</v>
      </c>
      <c r="L69" s="1">
        <f>VLOOKUP(K69,'[1]Tarif - Evolution Marché'!$F:$H,3,0)</f>
        <v>59.122489711934158</v>
      </c>
    </row>
    <row r="70" spans="1:12" x14ac:dyDescent="0.3">
      <c r="A70" s="8" t="s">
        <v>23</v>
      </c>
      <c r="B70" s="11">
        <v>560</v>
      </c>
      <c r="C70" s="11" t="s">
        <v>5</v>
      </c>
      <c r="D70" s="11">
        <v>6</v>
      </c>
      <c r="E70" s="19">
        <v>74.11</v>
      </c>
      <c r="F70" s="11" t="s">
        <v>13</v>
      </c>
      <c r="G70" s="11" t="s">
        <v>15</v>
      </c>
      <c r="H70" s="12">
        <v>46630</v>
      </c>
      <c r="I70" s="11">
        <v>192</v>
      </c>
      <c r="J70" s="13">
        <v>224</v>
      </c>
      <c r="K70" t="str">
        <f t="shared" si="1"/>
        <v>DE560-SDR26</v>
      </c>
      <c r="L70" s="1">
        <f>VLOOKUP(K70,'[1]Tarif - Evolution Marché'!$F:$H,3,0)</f>
        <v>74.105586419753095</v>
      </c>
    </row>
    <row r="71" spans="1:12" x14ac:dyDescent="0.3">
      <c r="A71" s="14" t="s">
        <v>23</v>
      </c>
      <c r="B71" s="15">
        <v>630</v>
      </c>
      <c r="C71" s="15" t="s">
        <v>5</v>
      </c>
      <c r="D71" s="15">
        <v>6</v>
      </c>
      <c r="E71" s="16">
        <v>93.95</v>
      </c>
      <c r="F71" s="15" t="s">
        <v>13</v>
      </c>
      <c r="G71" s="15" t="s">
        <v>15</v>
      </c>
      <c r="H71" s="17">
        <v>46630</v>
      </c>
      <c r="I71" s="15">
        <v>108</v>
      </c>
      <c r="J71" s="18">
        <v>126</v>
      </c>
      <c r="K71" t="str">
        <f t="shared" si="1"/>
        <v>DE630-SDR26</v>
      </c>
      <c r="L71" s="1">
        <f>VLOOKUP(K71,'[1]Tarif - Evolution Marché'!$F:$H,3,0)</f>
        <v>93.948065843621393</v>
      </c>
    </row>
    <row r="72" spans="1:12" x14ac:dyDescent="0.3">
      <c r="A72" s="8" t="s">
        <v>23</v>
      </c>
      <c r="B72" s="11">
        <v>710</v>
      </c>
      <c r="C72" s="11" t="s">
        <v>5</v>
      </c>
      <c r="D72" s="11">
        <v>6</v>
      </c>
      <c r="E72" s="19">
        <v>119.46</v>
      </c>
      <c r="F72" s="11" t="s">
        <v>13</v>
      </c>
      <c r="G72" s="11" t="s">
        <v>15</v>
      </c>
      <c r="H72" s="12">
        <v>46630</v>
      </c>
      <c r="I72" s="11">
        <v>108</v>
      </c>
      <c r="J72" s="13">
        <v>126</v>
      </c>
      <c r="K72" t="str">
        <f t="shared" si="1"/>
        <v>DE710-SDR26</v>
      </c>
      <c r="L72" s="1">
        <f>VLOOKUP(K72,'[1]Tarif - Evolution Marché'!$F:$H,3,0)</f>
        <v>119.45982510288066</v>
      </c>
    </row>
    <row r="73" spans="1:12" x14ac:dyDescent="0.3">
      <c r="A73" s="14" t="s">
        <v>23</v>
      </c>
      <c r="B73" s="15">
        <v>800</v>
      </c>
      <c r="C73" s="15" t="s">
        <v>5</v>
      </c>
      <c r="D73" s="15">
        <v>6</v>
      </c>
      <c r="E73" s="16">
        <v>151.25</v>
      </c>
      <c r="F73" s="15" t="s">
        <v>13</v>
      </c>
      <c r="G73" s="15" t="s">
        <v>15</v>
      </c>
      <c r="H73" s="17">
        <v>46630</v>
      </c>
      <c r="I73" s="15">
        <v>108</v>
      </c>
      <c r="J73" s="18">
        <v>126</v>
      </c>
      <c r="K73" t="str">
        <f t="shared" si="1"/>
        <v>DE800-SDR26</v>
      </c>
      <c r="L73" s="1">
        <f>VLOOKUP(K73,'[1]Tarif - Evolution Marché'!$F:$H,3,0)</f>
        <v>151.24828703703704</v>
      </c>
    </row>
    <row r="74" spans="1:12" x14ac:dyDescent="0.3">
      <c r="A74" s="8" t="s">
        <v>23</v>
      </c>
      <c r="B74" s="11">
        <v>900</v>
      </c>
      <c r="C74" s="11" t="s">
        <v>5</v>
      </c>
      <c r="D74" s="11">
        <v>6</v>
      </c>
      <c r="E74" s="19">
        <v>191.14</v>
      </c>
      <c r="F74" s="11" t="s">
        <v>13</v>
      </c>
      <c r="G74" s="11" t="s">
        <v>15</v>
      </c>
      <c r="H74" s="12">
        <v>46630</v>
      </c>
      <c r="I74" s="11">
        <v>72</v>
      </c>
      <c r="J74" s="13">
        <v>84</v>
      </c>
      <c r="K74" t="str">
        <f t="shared" si="1"/>
        <v>DE900-SDR26</v>
      </c>
      <c r="L74" s="1">
        <f>VLOOKUP(K74,'[1]Tarif - Evolution Marché'!$F:$H,3,0)</f>
        <v>191.13572016460907</v>
      </c>
    </row>
    <row r="75" spans="1:12" x14ac:dyDescent="0.3">
      <c r="A75" s="14" t="s">
        <v>23</v>
      </c>
      <c r="B75" s="15">
        <v>1000</v>
      </c>
      <c r="C75" s="15" t="s">
        <v>5</v>
      </c>
      <c r="D75" s="15">
        <v>6</v>
      </c>
      <c r="E75" s="16">
        <v>236.89</v>
      </c>
      <c r="F75" s="15" t="s">
        <v>13</v>
      </c>
      <c r="G75" s="15" t="s">
        <v>15</v>
      </c>
      <c r="H75" s="17">
        <v>46630</v>
      </c>
      <c r="I75" s="15">
        <v>48</v>
      </c>
      <c r="J75" s="18">
        <v>56</v>
      </c>
      <c r="K75" t="str">
        <f t="shared" si="1"/>
        <v>DE1000-SDR26</v>
      </c>
      <c r="L75" s="1">
        <f>VLOOKUP(K75,'[1]Tarif - Evolution Marché'!$F:$H,3,0)</f>
        <v>236.8949074074074</v>
      </c>
    </row>
    <row r="76" spans="1:12" x14ac:dyDescent="0.3">
      <c r="A76" s="8" t="s">
        <v>23</v>
      </c>
      <c r="B76" s="11">
        <v>1200</v>
      </c>
      <c r="C76" s="11" t="s">
        <v>5</v>
      </c>
      <c r="D76" s="11">
        <v>6</v>
      </c>
      <c r="E76" s="19">
        <v>340.16</v>
      </c>
      <c r="F76" s="11" t="s">
        <v>13</v>
      </c>
      <c r="G76" s="11" t="s">
        <v>15</v>
      </c>
      <c r="H76" s="12">
        <v>46630</v>
      </c>
      <c r="I76" s="11">
        <v>36</v>
      </c>
      <c r="J76" s="13">
        <v>42</v>
      </c>
      <c r="K76" t="str">
        <f t="shared" si="1"/>
        <v>DE1200-SDR26</v>
      </c>
      <c r="L76" s="1">
        <f>VLOOKUP(K76,'[1]Tarif - Evolution Marché'!$F:$H,3,0)</f>
        <v>340.1567901234568</v>
      </c>
    </row>
    <row r="77" spans="1:12" x14ac:dyDescent="0.3">
      <c r="A77" s="14" t="s">
        <v>23</v>
      </c>
      <c r="B77" s="15">
        <v>40</v>
      </c>
      <c r="C77" s="15" t="s">
        <v>6</v>
      </c>
      <c r="D77" s="15">
        <v>8</v>
      </c>
      <c r="E77" s="16">
        <v>0.51</v>
      </c>
      <c r="F77" s="15" t="s">
        <v>13</v>
      </c>
      <c r="G77" s="15" t="s">
        <v>15</v>
      </c>
      <c r="H77" s="17">
        <v>46630</v>
      </c>
      <c r="I77" s="17"/>
      <c r="J77" s="18"/>
      <c r="K77" t="str">
        <f t="shared" si="1"/>
        <v>DE40-SDR21</v>
      </c>
      <c r="L77" s="1">
        <f>VLOOKUP(K77,'[1]Tarif - Evolution Marché'!$F:$H,3,0)</f>
        <v>0.50821044238683133</v>
      </c>
    </row>
    <row r="78" spans="1:12" x14ac:dyDescent="0.3">
      <c r="A78" s="8" t="s">
        <v>23</v>
      </c>
      <c r="B78" s="11">
        <v>50</v>
      </c>
      <c r="C78" s="11" t="s">
        <v>6</v>
      </c>
      <c r="D78" s="11">
        <v>8</v>
      </c>
      <c r="E78" s="19">
        <v>0.77</v>
      </c>
      <c r="F78" s="11" t="s">
        <v>13</v>
      </c>
      <c r="G78" s="11" t="s">
        <v>15</v>
      </c>
      <c r="H78" s="12">
        <v>46630</v>
      </c>
      <c r="I78" s="12"/>
      <c r="J78" s="13"/>
      <c r="K78" t="str">
        <f t="shared" si="1"/>
        <v>DE50-SDR21</v>
      </c>
      <c r="L78" s="1">
        <f>VLOOKUP(K78,'[1]Tarif - Evolution Marché'!$F:$H,3,0)</f>
        <v>0.76535277777777777</v>
      </c>
    </row>
    <row r="79" spans="1:12" x14ac:dyDescent="0.3">
      <c r="A79" s="14" t="s">
        <v>23</v>
      </c>
      <c r="B79" s="15">
        <v>63</v>
      </c>
      <c r="C79" s="15" t="s">
        <v>6</v>
      </c>
      <c r="D79" s="15">
        <v>8</v>
      </c>
      <c r="E79" s="16">
        <v>1.19</v>
      </c>
      <c r="F79" s="15" t="s">
        <v>13</v>
      </c>
      <c r="G79" s="15" t="s">
        <v>15</v>
      </c>
      <c r="H79" s="17">
        <v>46630</v>
      </c>
      <c r="I79" s="17"/>
      <c r="J79" s="18"/>
      <c r="K79" t="str">
        <f t="shared" si="1"/>
        <v>DE63-SDR21</v>
      </c>
      <c r="L79" s="1">
        <f>VLOOKUP(K79,'[1]Tarif - Evolution Marché'!$F:$H,3,0)</f>
        <v>1.1864992798353908</v>
      </c>
    </row>
    <row r="80" spans="1:12" x14ac:dyDescent="0.3">
      <c r="A80" s="8" t="s">
        <v>23</v>
      </c>
      <c r="B80" s="11">
        <v>75</v>
      </c>
      <c r="C80" s="11" t="s">
        <v>6</v>
      </c>
      <c r="D80" s="11">
        <v>8</v>
      </c>
      <c r="E80" s="19">
        <v>1.69</v>
      </c>
      <c r="F80" s="11" t="s">
        <v>13</v>
      </c>
      <c r="G80" s="11" t="s">
        <v>15</v>
      </c>
      <c r="H80" s="12">
        <v>46630</v>
      </c>
      <c r="I80" s="12"/>
      <c r="J80" s="13"/>
      <c r="K80" t="str">
        <f t="shared" si="1"/>
        <v>DE75-SDR21</v>
      </c>
      <c r="L80" s="1">
        <f>VLOOKUP(K80,'[1]Tarif - Evolution Marché'!$F:$H,3,0)</f>
        <v>1.6926849794238683</v>
      </c>
    </row>
    <row r="81" spans="1:12" x14ac:dyDescent="0.3">
      <c r="A81" s="14" t="s">
        <v>23</v>
      </c>
      <c r="B81" s="15">
        <v>90</v>
      </c>
      <c r="C81" s="15" t="s">
        <v>6</v>
      </c>
      <c r="D81" s="15">
        <v>8</v>
      </c>
      <c r="E81" s="16">
        <v>2.4300000000000002</v>
      </c>
      <c r="F81" s="15" t="s">
        <v>13</v>
      </c>
      <c r="G81" s="15" t="s">
        <v>15</v>
      </c>
      <c r="H81" s="17">
        <v>46630</v>
      </c>
      <c r="I81" s="17"/>
      <c r="J81" s="18"/>
      <c r="K81" t="str">
        <f t="shared" si="1"/>
        <v>DE90-SDR21</v>
      </c>
      <c r="L81" s="1">
        <f>VLOOKUP(K81,'[1]Tarif - Evolution Marché'!$F:$H,3,0)</f>
        <v>2.4296913580246913</v>
      </c>
    </row>
    <row r="82" spans="1:12" x14ac:dyDescent="0.3">
      <c r="A82" s="8" t="s">
        <v>23</v>
      </c>
      <c r="B82" s="11">
        <v>110</v>
      </c>
      <c r="C82" s="11" t="s">
        <v>6</v>
      </c>
      <c r="D82" s="11">
        <v>8</v>
      </c>
      <c r="E82" s="19">
        <v>3.62</v>
      </c>
      <c r="F82" s="11" t="s">
        <v>13</v>
      </c>
      <c r="G82" s="11" t="s">
        <v>15</v>
      </c>
      <c r="H82" s="12">
        <v>46630</v>
      </c>
      <c r="I82" s="12"/>
      <c r="J82" s="13"/>
      <c r="K82" t="str">
        <f t="shared" si="1"/>
        <v>DE110-SDR21</v>
      </c>
      <c r="L82" s="1">
        <f>VLOOKUP(K82,'[1]Tarif - Evolution Marché'!$F:$H,3,0)</f>
        <v>3.624289609053498</v>
      </c>
    </row>
    <row r="83" spans="1:12" x14ac:dyDescent="0.3">
      <c r="A83" s="14" t="s">
        <v>23</v>
      </c>
      <c r="B83" s="15">
        <v>125</v>
      </c>
      <c r="C83" s="15" t="s">
        <v>6</v>
      </c>
      <c r="D83" s="15">
        <v>8</v>
      </c>
      <c r="E83" s="16">
        <v>4.6399999999999997</v>
      </c>
      <c r="F83" s="15" t="s">
        <v>13</v>
      </c>
      <c r="G83" s="15" t="s">
        <v>15</v>
      </c>
      <c r="H83" s="17">
        <v>46630</v>
      </c>
      <c r="I83" s="15">
        <v>2400</v>
      </c>
      <c r="J83" s="18">
        <v>2800</v>
      </c>
      <c r="K83" t="str">
        <f t="shared" si="1"/>
        <v>DE125-SDR21</v>
      </c>
      <c r="L83" s="1">
        <f>VLOOKUP(K83,'[1]Tarif - Evolution Marché'!$F:$H,3,0)</f>
        <v>4.6366610082304529</v>
      </c>
    </row>
    <row r="84" spans="1:12" x14ac:dyDescent="0.3">
      <c r="A84" s="8" t="s">
        <v>23</v>
      </c>
      <c r="B84" s="11">
        <v>140</v>
      </c>
      <c r="C84" s="11" t="s">
        <v>6</v>
      </c>
      <c r="D84" s="11">
        <v>8</v>
      </c>
      <c r="E84" s="19">
        <v>5.79</v>
      </c>
      <c r="F84" s="11" t="s">
        <v>13</v>
      </c>
      <c r="G84" s="11" t="s">
        <v>15</v>
      </c>
      <c r="H84" s="12">
        <v>46630</v>
      </c>
      <c r="I84" s="11">
        <v>1920</v>
      </c>
      <c r="J84" s="13">
        <v>2240</v>
      </c>
      <c r="K84" t="str">
        <f t="shared" si="1"/>
        <v>DE140-SDR21</v>
      </c>
      <c r="L84" s="1">
        <f>VLOOKUP(K84,'[1]Tarif - Evolution Marché'!$F:$H,3,0)</f>
        <v>5.7907644032921812</v>
      </c>
    </row>
    <row r="85" spans="1:12" x14ac:dyDescent="0.3">
      <c r="A85" s="14" t="s">
        <v>23</v>
      </c>
      <c r="B85" s="15">
        <v>160</v>
      </c>
      <c r="C85" s="15" t="s">
        <v>6</v>
      </c>
      <c r="D85" s="15">
        <v>8</v>
      </c>
      <c r="E85" s="16">
        <v>7.59</v>
      </c>
      <c r="F85" s="15" t="s">
        <v>13</v>
      </c>
      <c r="G85" s="15" t="s">
        <v>15</v>
      </c>
      <c r="H85" s="17">
        <v>46630</v>
      </c>
      <c r="I85" s="15">
        <v>1920</v>
      </c>
      <c r="J85" s="18">
        <v>2240</v>
      </c>
      <c r="K85" t="str">
        <f t="shared" si="1"/>
        <v>DE160-SDR21</v>
      </c>
      <c r="L85" s="1">
        <f>VLOOKUP(K85,'[1]Tarif - Evolution Marché'!$F:$H,3,0)</f>
        <v>7.5927854938271606</v>
      </c>
    </row>
    <row r="86" spans="1:12" x14ac:dyDescent="0.3">
      <c r="A86" s="8" t="s">
        <v>23</v>
      </c>
      <c r="B86" s="11">
        <v>180</v>
      </c>
      <c r="C86" s="11" t="s">
        <v>6</v>
      </c>
      <c r="D86" s="11">
        <v>8</v>
      </c>
      <c r="E86" s="19">
        <v>9.5399999999999991</v>
      </c>
      <c r="F86" s="11" t="s">
        <v>13</v>
      </c>
      <c r="G86" s="11" t="s">
        <v>15</v>
      </c>
      <c r="H86" s="12">
        <v>46630</v>
      </c>
      <c r="I86" s="11">
        <v>1200</v>
      </c>
      <c r="J86" s="13">
        <v>1400</v>
      </c>
      <c r="K86" t="str">
        <f t="shared" si="1"/>
        <v>DE180-SDR21</v>
      </c>
      <c r="L86" s="1">
        <f>VLOOKUP(K86,'[1]Tarif - Evolution Marché'!$F:$H,3,0)</f>
        <v>9.5365385802469138</v>
      </c>
    </row>
    <row r="87" spans="1:12" x14ac:dyDescent="0.3">
      <c r="A87" s="14" t="s">
        <v>23</v>
      </c>
      <c r="B87" s="15">
        <v>200</v>
      </c>
      <c r="C87" s="15" t="s">
        <v>6</v>
      </c>
      <c r="D87" s="15">
        <v>8</v>
      </c>
      <c r="E87" s="16">
        <v>11.82</v>
      </c>
      <c r="F87" s="15" t="s">
        <v>13</v>
      </c>
      <c r="G87" s="15" t="s">
        <v>15</v>
      </c>
      <c r="H87" s="17">
        <v>46630</v>
      </c>
      <c r="I87" s="15">
        <v>960</v>
      </c>
      <c r="J87" s="18">
        <v>1120</v>
      </c>
      <c r="K87" t="str">
        <f t="shared" si="1"/>
        <v>DE200-SDR21</v>
      </c>
      <c r="L87" s="1">
        <f>VLOOKUP(K87,'[1]Tarif - Evolution Marché'!$F:$H,3,0)</f>
        <v>11.824497942386831</v>
      </c>
    </row>
    <row r="88" spans="1:12" x14ac:dyDescent="0.3">
      <c r="A88" s="8" t="s">
        <v>23</v>
      </c>
      <c r="B88" s="11">
        <v>225</v>
      </c>
      <c r="C88" s="11" t="s">
        <v>6</v>
      </c>
      <c r="D88" s="11">
        <v>8</v>
      </c>
      <c r="E88" s="19">
        <v>14.92</v>
      </c>
      <c r="F88" s="11" t="s">
        <v>13</v>
      </c>
      <c r="G88" s="11" t="s">
        <v>15</v>
      </c>
      <c r="H88" s="12">
        <v>46630</v>
      </c>
      <c r="I88" s="11">
        <v>960</v>
      </c>
      <c r="J88" s="13">
        <v>1120</v>
      </c>
      <c r="K88" t="str">
        <f t="shared" si="1"/>
        <v>DE225-SDR21</v>
      </c>
      <c r="L88" s="1">
        <f>VLOOKUP(K88,'[1]Tarif - Evolution Marché'!$F:$H,3,0)</f>
        <v>14.922354423868313</v>
      </c>
    </row>
    <row r="89" spans="1:12" x14ac:dyDescent="0.3">
      <c r="A89" s="14" t="s">
        <v>23</v>
      </c>
      <c r="B89" s="15">
        <v>250</v>
      </c>
      <c r="C89" s="15" t="s">
        <v>6</v>
      </c>
      <c r="D89" s="15">
        <v>8</v>
      </c>
      <c r="E89" s="16">
        <v>18.260000000000002</v>
      </c>
      <c r="F89" s="15" t="s">
        <v>13</v>
      </c>
      <c r="G89" s="15" t="s">
        <v>15</v>
      </c>
      <c r="H89" s="17">
        <v>46630</v>
      </c>
      <c r="I89" s="15">
        <v>672</v>
      </c>
      <c r="J89" s="18">
        <v>784</v>
      </c>
      <c r="K89" t="str">
        <f t="shared" si="1"/>
        <v>DE250-SDR21</v>
      </c>
      <c r="L89" s="1">
        <f>VLOOKUP(K89,'[1]Tarif - Evolution Marché'!$F:$H,3,0)</f>
        <v>18.263180041152264</v>
      </c>
    </row>
    <row r="90" spans="1:12" x14ac:dyDescent="0.3">
      <c r="A90" s="8" t="s">
        <v>23</v>
      </c>
      <c r="B90" s="11">
        <v>280</v>
      </c>
      <c r="C90" s="11" t="s">
        <v>6</v>
      </c>
      <c r="D90" s="11">
        <v>8</v>
      </c>
      <c r="E90" s="19">
        <v>23.08</v>
      </c>
      <c r="F90" s="11" t="s">
        <v>13</v>
      </c>
      <c r="G90" s="11" t="s">
        <v>15</v>
      </c>
      <c r="H90" s="12">
        <v>46630</v>
      </c>
      <c r="I90" s="11">
        <v>672</v>
      </c>
      <c r="J90" s="13">
        <v>784</v>
      </c>
      <c r="K90" t="str">
        <f t="shared" si="1"/>
        <v>DE280-SDR21</v>
      </c>
      <c r="L90" s="1">
        <f>VLOOKUP(K90,'[1]Tarif - Evolution Marché'!$F:$H,3,0)</f>
        <v>23.08206790123457</v>
      </c>
    </row>
    <row r="91" spans="1:12" x14ac:dyDescent="0.3">
      <c r="A91" s="14" t="s">
        <v>23</v>
      </c>
      <c r="B91" s="15">
        <v>315</v>
      </c>
      <c r="C91" s="15" t="s">
        <v>6</v>
      </c>
      <c r="D91" s="15">
        <v>8</v>
      </c>
      <c r="E91" s="16">
        <v>28.95</v>
      </c>
      <c r="F91" s="15" t="s">
        <v>13</v>
      </c>
      <c r="G91" s="15" t="s">
        <v>15</v>
      </c>
      <c r="H91" s="17">
        <v>46630</v>
      </c>
      <c r="I91" s="15">
        <v>432</v>
      </c>
      <c r="J91" s="18">
        <v>504</v>
      </c>
      <c r="K91" t="str">
        <f t="shared" si="1"/>
        <v>DE315-SDR21</v>
      </c>
      <c r="L91" s="1">
        <f>VLOOKUP(K91,'[1]Tarif - Evolution Marché'!$F:$H,3,0)</f>
        <v>28.953822016460908</v>
      </c>
    </row>
    <row r="92" spans="1:12" x14ac:dyDescent="0.3">
      <c r="A92" s="8" t="s">
        <v>23</v>
      </c>
      <c r="B92" s="11">
        <v>355</v>
      </c>
      <c r="C92" s="11" t="s">
        <v>6</v>
      </c>
      <c r="D92" s="11">
        <v>8</v>
      </c>
      <c r="E92" s="19">
        <v>36.85</v>
      </c>
      <c r="F92" s="11" t="s">
        <v>13</v>
      </c>
      <c r="G92" s="11" t="s">
        <v>15</v>
      </c>
      <c r="H92" s="12">
        <v>46630</v>
      </c>
      <c r="I92" s="11">
        <v>360</v>
      </c>
      <c r="J92" s="13">
        <v>420</v>
      </c>
      <c r="K92" t="str">
        <f t="shared" si="1"/>
        <v>DE355-SDR21</v>
      </c>
      <c r="L92" s="1">
        <f>VLOOKUP(K92,'[1]Tarif - Evolution Marché'!$F:$H,3,0)</f>
        <v>36.850318930041148</v>
      </c>
    </row>
    <row r="93" spans="1:12" x14ac:dyDescent="0.3">
      <c r="A93" s="14" t="s">
        <v>23</v>
      </c>
      <c r="B93" s="15">
        <v>400</v>
      </c>
      <c r="C93" s="15" t="s">
        <v>6</v>
      </c>
      <c r="D93" s="15">
        <v>8</v>
      </c>
      <c r="E93" s="16">
        <v>46.77</v>
      </c>
      <c r="F93" s="15" t="s">
        <v>13</v>
      </c>
      <c r="G93" s="15" t="s">
        <v>15</v>
      </c>
      <c r="H93" s="17">
        <v>46630</v>
      </c>
      <c r="I93" s="15">
        <v>360</v>
      </c>
      <c r="J93" s="18">
        <v>420</v>
      </c>
      <c r="K93" t="str">
        <f t="shared" si="1"/>
        <v>DE400-SDR21</v>
      </c>
      <c r="L93" s="1">
        <f>VLOOKUP(K93,'[1]Tarif - Evolution Marché'!$F:$H,3,0)</f>
        <v>46.771558641975311</v>
      </c>
    </row>
    <row r="94" spans="1:12" x14ac:dyDescent="0.3">
      <c r="A94" s="8" t="s">
        <v>23</v>
      </c>
      <c r="B94" s="11">
        <v>450</v>
      </c>
      <c r="C94" s="11" t="s">
        <v>6</v>
      </c>
      <c r="D94" s="11">
        <v>8</v>
      </c>
      <c r="E94" s="19">
        <v>59.32</v>
      </c>
      <c r="F94" s="11" t="s">
        <v>13</v>
      </c>
      <c r="G94" s="11" t="s">
        <v>15</v>
      </c>
      <c r="H94" s="12">
        <v>46630</v>
      </c>
      <c r="I94" s="11">
        <v>192</v>
      </c>
      <c r="J94" s="13">
        <v>224</v>
      </c>
      <c r="K94" t="str">
        <f t="shared" si="1"/>
        <v>DE450-SDR21</v>
      </c>
      <c r="L94" s="1">
        <f>VLOOKUP(K94,'[1]Tarif - Evolution Marché'!$F:$H,3,0)</f>
        <v>59.32496399176955</v>
      </c>
    </row>
    <row r="95" spans="1:12" x14ac:dyDescent="0.3">
      <c r="A95" s="14" t="s">
        <v>23</v>
      </c>
      <c r="B95" s="15">
        <v>500</v>
      </c>
      <c r="C95" s="15" t="s">
        <v>6</v>
      </c>
      <c r="D95" s="15">
        <v>8</v>
      </c>
      <c r="E95" s="16">
        <v>73.09</v>
      </c>
      <c r="F95" s="15" t="s">
        <v>13</v>
      </c>
      <c r="G95" s="15" t="s">
        <v>15</v>
      </c>
      <c r="H95" s="17">
        <v>46630</v>
      </c>
      <c r="I95" s="15">
        <v>192</v>
      </c>
      <c r="J95" s="18">
        <v>224</v>
      </c>
      <c r="K95" t="str">
        <f t="shared" si="1"/>
        <v>DE500-SDR21</v>
      </c>
      <c r="L95" s="1">
        <f>VLOOKUP(K95,'[1]Tarif - Evolution Marché'!$F:$H,3,0)</f>
        <v>73.093215020576139</v>
      </c>
    </row>
    <row r="96" spans="1:12" x14ac:dyDescent="0.3">
      <c r="A96" s="8" t="s">
        <v>23</v>
      </c>
      <c r="B96" s="11">
        <v>560</v>
      </c>
      <c r="C96" s="11" t="s">
        <v>6</v>
      </c>
      <c r="D96" s="11">
        <v>8</v>
      </c>
      <c r="E96" s="19">
        <v>91.52</v>
      </c>
      <c r="F96" s="11" t="s">
        <v>13</v>
      </c>
      <c r="G96" s="11" t="s">
        <v>15</v>
      </c>
      <c r="H96" s="12">
        <v>46630</v>
      </c>
      <c r="I96" s="11">
        <v>192</v>
      </c>
      <c r="J96" s="13">
        <v>224</v>
      </c>
      <c r="K96" t="str">
        <f t="shared" si="1"/>
        <v>DE560-SDR21</v>
      </c>
      <c r="L96" s="1">
        <f>VLOOKUP(K96,'[1]Tarif - Evolution Marché'!$F:$H,3,0)</f>
        <v>91.518374485596709</v>
      </c>
    </row>
    <row r="97" spans="1:12" x14ac:dyDescent="0.3">
      <c r="A97" s="14" t="s">
        <v>23</v>
      </c>
      <c r="B97" s="15">
        <v>630</v>
      </c>
      <c r="C97" s="15" t="s">
        <v>6</v>
      </c>
      <c r="D97" s="15">
        <v>8</v>
      </c>
      <c r="E97" s="16">
        <v>115.41</v>
      </c>
      <c r="F97" s="15" t="s">
        <v>13</v>
      </c>
      <c r="G97" s="15" t="s">
        <v>15</v>
      </c>
      <c r="H97" s="17">
        <v>46630</v>
      </c>
      <c r="I97" s="15">
        <v>108</v>
      </c>
      <c r="J97" s="18">
        <v>126</v>
      </c>
      <c r="K97" t="str">
        <f t="shared" si="1"/>
        <v>DE630-SDR21</v>
      </c>
      <c r="L97" s="1">
        <f>VLOOKUP(K97,'[1]Tarif - Evolution Marché'!$F:$H,3,0)</f>
        <v>115.41033950617285</v>
      </c>
    </row>
    <row r="98" spans="1:12" x14ac:dyDescent="0.3">
      <c r="A98" s="8" t="s">
        <v>23</v>
      </c>
      <c r="B98" s="11">
        <v>710</v>
      </c>
      <c r="C98" s="11" t="s">
        <v>6</v>
      </c>
      <c r="D98" s="11">
        <v>8</v>
      </c>
      <c r="E98" s="19">
        <v>147</v>
      </c>
      <c r="F98" s="11" t="s">
        <v>13</v>
      </c>
      <c r="G98" s="11" t="s">
        <v>15</v>
      </c>
      <c r="H98" s="12">
        <v>46630</v>
      </c>
      <c r="I98" s="11">
        <v>108</v>
      </c>
      <c r="J98" s="13">
        <v>126</v>
      </c>
      <c r="K98" t="str">
        <f t="shared" si="1"/>
        <v>DE710-SDR21</v>
      </c>
      <c r="L98" s="1">
        <f>VLOOKUP(K98,'[1]Tarif - Evolution Marché'!$F:$H,3,0)</f>
        <v>146.99632716049382</v>
      </c>
    </row>
    <row r="99" spans="1:12" x14ac:dyDescent="0.3">
      <c r="A99" s="14" t="s">
        <v>23</v>
      </c>
      <c r="B99" s="15">
        <v>800</v>
      </c>
      <c r="C99" s="15" t="s">
        <v>6</v>
      </c>
      <c r="D99" s="15">
        <v>8</v>
      </c>
      <c r="E99" s="16">
        <v>186.28</v>
      </c>
      <c r="F99" s="15" t="s">
        <v>13</v>
      </c>
      <c r="G99" s="15" t="s">
        <v>15</v>
      </c>
      <c r="H99" s="17">
        <v>46630</v>
      </c>
      <c r="I99" s="15">
        <v>108</v>
      </c>
      <c r="J99" s="18">
        <v>126</v>
      </c>
      <c r="K99" t="str">
        <f t="shared" si="1"/>
        <v>DE800-SDR21</v>
      </c>
      <c r="L99" s="1">
        <f>VLOOKUP(K99,'[1]Tarif - Evolution Marché'!$F:$H,3,0)</f>
        <v>186.27633744855967</v>
      </c>
    </row>
    <row r="100" spans="1:12" x14ac:dyDescent="0.3">
      <c r="A100" s="8" t="s">
        <v>23</v>
      </c>
      <c r="B100" s="11">
        <v>900</v>
      </c>
      <c r="C100" s="11" t="s">
        <v>6</v>
      </c>
      <c r="D100" s="11">
        <v>8</v>
      </c>
      <c r="E100" s="19">
        <v>234.87</v>
      </c>
      <c r="F100" s="11" t="s">
        <v>13</v>
      </c>
      <c r="G100" s="11" t="s">
        <v>15</v>
      </c>
      <c r="H100" s="12">
        <v>46630</v>
      </c>
      <c r="I100" s="11">
        <v>72</v>
      </c>
      <c r="J100" s="13">
        <v>84</v>
      </c>
      <c r="K100" t="str">
        <f t="shared" si="1"/>
        <v>DE900-SDR21</v>
      </c>
      <c r="L100" s="1">
        <f>VLOOKUP(K100,'[1]Tarif - Evolution Marché'!$F:$H,3,0)</f>
        <v>234.87016460905349</v>
      </c>
    </row>
    <row r="101" spans="1:12" x14ac:dyDescent="0.3">
      <c r="A101" s="14" t="s">
        <v>23</v>
      </c>
      <c r="B101" s="15">
        <v>1000</v>
      </c>
      <c r="C101" s="15" t="s">
        <v>6</v>
      </c>
      <c r="D101" s="15">
        <v>8</v>
      </c>
      <c r="E101" s="16">
        <v>291.56</v>
      </c>
      <c r="F101" s="15" t="s">
        <v>13</v>
      </c>
      <c r="G101" s="15" t="s">
        <v>15</v>
      </c>
      <c r="H101" s="17">
        <v>46630</v>
      </c>
      <c r="I101" s="15">
        <v>48</v>
      </c>
      <c r="J101" s="18">
        <v>56</v>
      </c>
      <c r="K101" t="str">
        <f t="shared" si="1"/>
        <v>DE1000-SDR21</v>
      </c>
      <c r="L101" s="1">
        <f>VLOOKUP(K101,'[1]Tarif - Evolution Marché'!$F:$H,3,0)</f>
        <v>291.56296296296296</v>
      </c>
    </row>
    <row r="102" spans="1:12" x14ac:dyDescent="0.3">
      <c r="A102" s="8" t="s">
        <v>23</v>
      </c>
      <c r="B102" s="11">
        <v>1200</v>
      </c>
      <c r="C102" s="11" t="s">
        <v>6</v>
      </c>
      <c r="D102" s="11">
        <v>8</v>
      </c>
      <c r="E102" s="19">
        <v>419.12</v>
      </c>
      <c r="F102" s="11" t="s">
        <v>13</v>
      </c>
      <c r="G102" s="11" t="s">
        <v>15</v>
      </c>
      <c r="H102" s="12">
        <v>46630</v>
      </c>
      <c r="I102" s="11">
        <v>36</v>
      </c>
      <c r="J102" s="13">
        <v>42</v>
      </c>
      <c r="K102" t="str">
        <f t="shared" si="1"/>
        <v>DE1200-SDR21</v>
      </c>
      <c r="L102" s="1">
        <f>VLOOKUP(K102,'[1]Tarif - Evolution Marché'!$F:$H,3,0)</f>
        <v>419.12175925925925</v>
      </c>
    </row>
    <row r="103" spans="1:12" x14ac:dyDescent="0.3">
      <c r="A103" s="14" t="s">
        <v>23</v>
      </c>
      <c r="B103" s="15">
        <v>32</v>
      </c>
      <c r="C103" s="15" t="s">
        <v>7</v>
      </c>
      <c r="D103" s="15">
        <v>10</v>
      </c>
      <c r="E103" s="16">
        <v>0.4</v>
      </c>
      <c r="F103" s="15" t="s">
        <v>13</v>
      </c>
      <c r="G103" s="15" t="s">
        <v>15</v>
      </c>
      <c r="H103" s="17">
        <v>46630</v>
      </c>
      <c r="I103" s="17"/>
      <c r="J103" s="18"/>
      <c r="K103" t="str">
        <f t="shared" si="1"/>
        <v>DE32-SDR17</v>
      </c>
      <c r="L103" s="1">
        <f>VLOOKUP(K103,'[1]Tarif - Evolution Marché'!$F:$H,3,0)</f>
        <v>0.4008990740740741</v>
      </c>
    </row>
    <row r="104" spans="1:12" x14ac:dyDescent="0.3">
      <c r="A104" s="8" t="s">
        <v>23</v>
      </c>
      <c r="B104" s="11">
        <v>40</v>
      </c>
      <c r="C104" s="11" t="s">
        <v>7</v>
      </c>
      <c r="D104" s="11">
        <v>10</v>
      </c>
      <c r="E104" s="19">
        <v>0.61</v>
      </c>
      <c r="F104" s="11" t="s">
        <v>13</v>
      </c>
      <c r="G104" s="11" t="s">
        <v>15</v>
      </c>
      <c r="H104" s="12">
        <v>46630</v>
      </c>
      <c r="I104" s="12"/>
      <c r="J104" s="13"/>
      <c r="K104" t="str">
        <f t="shared" si="1"/>
        <v>DE40-SDR17</v>
      </c>
      <c r="L104" s="1">
        <f>VLOOKUP(K104,'[1]Tarif - Evolution Marché'!$F:$H,3,0)</f>
        <v>0.60539809670781886</v>
      </c>
    </row>
    <row r="105" spans="1:12" x14ac:dyDescent="0.3">
      <c r="A105" s="14" t="s">
        <v>23</v>
      </c>
      <c r="B105" s="15">
        <v>50</v>
      </c>
      <c r="C105" s="15" t="s">
        <v>7</v>
      </c>
      <c r="D105" s="15">
        <v>10</v>
      </c>
      <c r="E105" s="16">
        <v>0.93</v>
      </c>
      <c r="F105" s="15" t="s">
        <v>13</v>
      </c>
      <c r="G105" s="15" t="s">
        <v>15</v>
      </c>
      <c r="H105" s="17">
        <v>46630</v>
      </c>
      <c r="I105" s="17"/>
      <c r="J105" s="18"/>
      <c r="K105" t="str">
        <f t="shared" si="1"/>
        <v>DE50-SDR17</v>
      </c>
      <c r="L105" s="1">
        <f>VLOOKUP(K105,'[1]Tarif - Evolution Marché'!$F:$H,3,0)</f>
        <v>0.92733220164609054</v>
      </c>
    </row>
    <row r="106" spans="1:12" x14ac:dyDescent="0.3">
      <c r="A106" s="8" t="s">
        <v>23</v>
      </c>
      <c r="B106" s="11">
        <v>63</v>
      </c>
      <c r="C106" s="11" t="s">
        <v>7</v>
      </c>
      <c r="D106" s="11">
        <v>10</v>
      </c>
      <c r="E106" s="19">
        <v>1.47</v>
      </c>
      <c r="F106" s="11" t="s">
        <v>13</v>
      </c>
      <c r="G106" s="11" t="s">
        <v>15</v>
      </c>
      <c r="H106" s="12">
        <v>46630</v>
      </c>
      <c r="I106" s="12"/>
      <c r="J106" s="13"/>
      <c r="K106" t="str">
        <f t="shared" si="1"/>
        <v>DE63-SDR17</v>
      </c>
      <c r="L106" s="1">
        <f>VLOOKUP(K106,'[1]Tarif - Evolution Marché'!$F:$H,3,0)</f>
        <v>1.4740127572016462</v>
      </c>
    </row>
    <row r="107" spans="1:12" x14ac:dyDescent="0.3">
      <c r="A107" s="14" t="s">
        <v>23</v>
      </c>
      <c r="B107" s="15">
        <v>75</v>
      </c>
      <c r="C107" s="15" t="s">
        <v>7</v>
      </c>
      <c r="D107" s="15">
        <v>10</v>
      </c>
      <c r="E107" s="16">
        <v>2.09</v>
      </c>
      <c r="F107" s="15" t="s">
        <v>13</v>
      </c>
      <c r="G107" s="15" t="s">
        <v>15</v>
      </c>
      <c r="H107" s="17">
        <v>46630</v>
      </c>
      <c r="I107" s="17"/>
      <c r="J107" s="18"/>
      <c r="K107" t="str">
        <f t="shared" si="1"/>
        <v>DE75-SDR17</v>
      </c>
      <c r="L107" s="1">
        <f>VLOOKUP(K107,'[1]Tarif - Evolution Marché'!$F:$H,3,0)</f>
        <v>2.085485082304527</v>
      </c>
    </row>
    <row r="108" spans="1:12" x14ac:dyDescent="0.3">
      <c r="A108" s="8" t="s">
        <v>23</v>
      </c>
      <c r="B108" s="11">
        <v>90</v>
      </c>
      <c r="C108" s="11" t="s">
        <v>7</v>
      </c>
      <c r="D108" s="11">
        <v>10</v>
      </c>
      <c r="E108" s="19">
        <v>2.98</v>
      </c>
      <c r="F108" s="11" t="s">
        <v>13</v>
      </c>
      <c r="G108" s="11" t="s">
        <v>15</v>
      </c>
      <c r="H108" s="12">
        <v>46630</v>
      </c>
      <c r="I108" s="12"/>
      <c r="J108" s="13"/>
      <c r="K108" t="str">
        <f t="shared" si="1"/>
        <v>DE90-SDR17</v>
      </c>
      <c r="L108" s="1">
        <f>VLOOKUP(K108,'[1]Tarif - Evolution Marché'!$F:$H,3,0)</f>
        <v>2.9763719135802469</v>
      </c>
    </row>
    <row r="109" spans="1:12" x14ac:dyDescent="0.3">
      <c r="A109" s="14" t="s">
        <v>23</v>
      </c>
      <c r="B109" s="15">
        <v>110</v>
      </c>
      <c r="C109" s="15" t="s">
        <v>7</v>
      </c>
      <c r="D109" s="15">
        <v>10</v>
      </c>
      <c r="E109" s="16">
        <v>4.43</v>
      </c>
      <c r="F109" s="15" t="s">
        <v>13</v>
      </c>
      <c r="G109" s="15" t="s">
        <v>15</v>
      </c>
      <c r="H109" s="17">
        <v>46630</v>
      </c>
      <c r="I109" s="17"/>
      <c r="J109" s="18"/>
      <c r="K109" t="str">
        <f t="shared" si="1"/>
        <v>DE110-SDR17</v>
      </c>
      <c r="L109" s="1">
        <f>VLOOKUP(K109,'[1]Tarif - Evolution Marché'!$F:$H,3,0)</f>
        <v>4.434186728395062</v>
      </c>
    </row>
    <row r="110" spans="1:12" x14ac:dyDescent="0.3">
      <c r="A110" s="8" t="s">
        <v>23</v>
      </c>
      <c r="B110" s="11">
        <v>125</v>
      </c>
      <c r="C110" s="11" t="s">
        <v>7</v>
      </c>
      <c r="D110" s="11">
        <v>10</v>
      </c>
      <c r="E110" s="19">
        <v>5.65</v>
      </c>
      <c r="F110" s="11" t="s">
        <v>13</v>
      </c>
      <c r="G110" s="11" t="s">
        <v>15</v>
      </c>
      <c r="H110" s="12">
        <v>46630</v>
      </c>
      <c r="I110" s="11">
        <v>2400</v>
      </c>
      <c r="J110" s="13">
        <v>2800</v>
      </c>
      <c r="K110" t="str">
        <f t="shared" si="1"/>
        <v>DE125-SDR17</v>
      </c>
      <c r="L110" s="1">
        <f>VLOOKUP(K110,'[1]Tarif - Evolution Marché'!$F:$H,3,0)</f>
        <v>5.6490324074074074</v>
      </c>
    </row>
    <row r="111" spans="1:12" x14ac:dyDescent="0.3">
      <c r="A111" s="14" t="s">
        <v>23</v>
      </c>
      <c r="B111" s="15">
        <v>140</v>
      </c>
      <c r="C111" s="15" t="s">
        <v>7</v>
      </c>
      <c r="D111" s="15">
        <v>10</v>
      </c>
      <c r="E111" s="16">
        <v>7.09</v>
      </c>
      <c r="F111" s="15" t="s">
        <v>13</v>
      </c>
      <c r="G111" s="15" t="s">
        <v>15</v>
      </c>
      <c r="H111" s="17">
        <v>46630</v>
      </c>
      <c r="I111" s="15">
        <v>1920</v>
      </c>
      <c r="J111" s="18">
        <v>2240</v>
      </c>
      <c r="K111" t="str">
        <f t="shared" si="1"/>
        <v>DE140-SDR17</v>
      </c>
      <c r="L111" s="1">
        <f>VLOOKUP(K111,'[1]Tarif - Evolution Marché'!$F:$H,3,0)</f>
        <v>7.0865997942386834</v>
      </c>
    </row>
    <row r="112" spans="1:12" x14ac:dyDescent="0.3">
      <c r="A112" s="8" t="s">
        <v>23</v>
      </c>
      <c r="B112" s="11">
        <v>160</v>
      </c>
      <c r="C112" s="11" t="s">
        <v>7</v>
      </c>
      <c r="D112" s="11">
        <v>10</v>
      </c>
      <c r="E112" s="19">
        <v>9.25</v>
      </c>
      <c r="F112" s="11" t="s">
        <v>13</v>
      </c>
      <c r="G112" s="11" t="s">
        <v>15</v>
      </c>
      <c r="H112" s="12">
        <v>46630</v>
      </c>
      <c r="I112" s="11">
        <v>1920</v>
      </c>
      <c r="J112" s="13">
        <v>2240</v>
      </c>
      <c r="K112" t="str">
        <f t="shared" si="1"/>
        <v>DE160-SDR17</v>
      </c>
      <c r="L112" s="1">
        <f>VLOOKUP(K112,'[1]Tarif - Evolution Marché'!$F:$H,3,0)</f>
        <v>9.2530745884773662</v>
      </c>
    </row>
    <row r="113" spans="1:12" x14ac:dyDescent="0.3">
      <c r="A113" s="14" t="s">
        <v>23</v>
      </c>
      <c r="B113" s="15">
        <v>180</v>
      </c>
      <c r="C113" s="15" t="s">
        <v>7</v>
      </c>
      <c r="D113" s="15">
        <v>10</v>
      </c>
      <c r="E113" s="16">
        <v>11.68</v>
      </c>
      <c r="F113" s="15" t="s">
        <v>13</v>
      </c>
      <c r="G113" s="15" t="s">
        <v>15</v>
      </c>
      <c r="H113" s="17">
        <v>46630</v>
      </c>
      <c r="I113" s="15">
        <v>1200</v>
      </c>
      <c r="J113" s="18">
        <v>1400</v>
      </c>
      <c r="K113" t="str">
        <f t="shared" si="1"/>
        <v>DE180-SDR17</v>
      </c>
      <c r="L113" s="1">
        <f>VLOOKUP(K113,'[1]Tarif - Evolution Marché'!$F:$H,3,0)</f>
        <v>11.682765946502057</v>
      </c>
    </row>
    <row r="114" spans="1:12" x14ac:dyDescent="0.3">
      <c r="A114" s="8" t="s">
        <v>23</v>
      </c>
      <c r="B114" s="11">
        <v>200</v>
      </c>
      <c r="C114" s="11" t="s">
        <v>7</v>
      </c>
      <c r="D114" s="11">
        <v>10</v>
      </c>
      <c r="E114" s="19">
        <v>14.42</v>
      </c>
      <c r="F114" s="11" t="s">
        <v>13</v>
      </c>
      <c r="G114" s="11" t="s">
        <v>15</v>
      </c>
      <c r="H114" s="12">
        <v>46630</v>
      </c>
      <c r="I114" s="11">
        <v>960</v>
      </c>
      <c r="J114" s="13">
        <v>1120</v>
      </c>
      <c r="K114" t="str">
        <f t="shared" si="1"/>
        <v>DE200-SDR17</v>
      </c>
      <c r="L114" s="1">
        <f>VLOOKUP(K114,'[1]Tarif - Evolution Marché'!$F:$H,3,0)</f>
        <v>14.416168724279835</v>
      </c>
    </row>
    <row r="115" spans="1:12" x14ac:dyDescent="0.3">
      <c r="A115" s="14" t="s">
        <v>23</v>
      </c>
      <c r="B115" s="15">
        <v>225</v>
      </c>
      <c r="C115" s="15" t="s">
        <v>7</v>
      </c>
      <c r="D115" s="15">
        <v>10</v>
      </c>
      <c r="E115" s="16">
        <v>18.28</v>
      </c>
      <c r="F115" s="15" t="s">
        <v>13</v>
      </c>
      <c r="G115" s="15" t="s">
        <v>15</v>
      </c>
      <c r="H115" s="17">
        <v>46630</v>
      </c>
      <c r="I115" s="15">
        <v>960</v>
      </c>
      <c r="J115" s="18">
        <v>1120</v>
      </c>
      <c r="K115" t="str">
        <f t="shared" si="1"/>
        <v>DE225-SDR17</v>
      </c>
      <c r="L115" s="1">
        <f>VLOOKUP(K115,'[1]Tarif - Evolution Marché'!$F:$H,3,0)</f>
        <v>18.283427469135802</v>
      </c>
    </row>
    <row r="116" spans="1:12" x14ac:dyDescent="0.3">
      <c r="A116" s="8" t="s">
        <v>23</v>
      </c>
      <c r="B116" s="11">
        <v>250</v>
      </c>
      <c r="C116" s="11" t="s">
        <v>7</v>
      </c>
      <c r="D116" s="11">
        <v>10</v>
      </c>
      <c r="E116" s="19">
        <v>22.47</v>
      </c>
      <c r="F116" s="11" t="s">
        <v>13</v>
      </c>
      <c r="G116" s="11" t="s">
        <v>15</v>
      </c>
      <c r="H116" s="12">
        <v>46630</v>
      </c>
      <c r="I116" s="11">
        <v>672</v>
      </c>
      <c r="J116" s="13">
        <v>784</v>
      </c>
      <c r="K116" t="str">
        <f t="shared" si="1"/>
        <v>DE250-SDR17</v>
      </c>
      <c r="L116" s="1">
        <f>VLOOKUP(K116,'[1]Tarif - Evolution Marché'!$F:$H,3,0)</f>
        <v>22.474645061728395</v>
      </c>
    </row>
    <row r="117" spans="1:12" x14ac:dyDescent="0.3">
      <c r="A117" s="14" t="s">
        <v>23</v>
      </c>
      <c r="B117" s="15">
        <v>280</v>
      </c>
      <c r="C117" s="15" t="s">
        <v>7</v>
      </c>
      <c r="D117" s="15">
        <v>10</v>
      </c>
      <c r="E117" s="16">
        <v>28.14</v>
      </c>
      <c r="F117" s="15" t="s">
        <v>13</v>
      </c>
      <c r="G117" s="15" t="s">
        <v>15</v>
      </c>
      <c r="H117" s="17">
        <v>46630</v>
      </c>
      <c r="I117" s="15">
        <v>672</v>
      </c>
      <c r="J117" s="18">
        <v>784</v>
      </c>
      <c r="K117" t="str">
        <f t="shared" si="1"/>
        <v>DE280-SDR17</v>
      </c>
      <c r="L117" s="1">
        <f>VLOOKUP(K117,'[1]Tarif - Evolution Marché'!$F:$H,3,0)</f>
        <v>28.143924897119341</v>
      </c>
    </row>
    <row r="118" spans="1:12" x14ac:dyDescent="0.3">
      <c r="A118" s="8" t="s">
        <v>23</v>
      </c>
      <c r="B118" s="11">
        <v>315</v>
      </c>
      <c r="C118" s="11" t="s">
        <v>7</v>
      </c>
      <c r="D118" s="11">
        <v>10</v>
      </c>
      <c r="E118" s="19">
        <v>35.64</v>
      </c>
      <c r="F118" s="11" t="s">
        <v>13</v>
      </c>
      <c r="G118" s="11" t="s">
        <v>15</v>
      </c>
      <c r="H118" s="12">
        <v>46630</v>
      </c>
      <c r="I118" s="11">
        <v>432</v>
      </c>
      <c r="J118" s="13">
        <v>504</v>
      </c>
      <c r="K118" t="str">
        <f t="shared" si="1"/>
        <v>DE315-SDR17</v>
      </c>
      <c r="L118" s="1">
        <f>VLOOKUP(K118,'[1]Tarif - Evolution Marché'!$F:$H,3,0)</f>
        <v>35.635473251028813</v>
      </c>
    </row>
    <row r="119" spans="1:12" x14ac:dyDescent="0.3">
      <c r="A119" s="14" t="s">
        <v>23</v>
      </c>
      <c r="B119" s="15">
        <v>355</v>
      </c>
      <c r="C119" s="15" t="s">
        <v>7</v>
      </c>
      <c r="D119" s="15">
        <v>10</v>
      </c>
      <c r="E119" s="16">
        <v>45.35</v>
      </c>
      <c r="F119" s="15" t="s">
        <v>13</v>
      </c>
      <c r="G119" s="15" t="s">
        <v>15</v>
      </c>
      <c r="H119" s="17">
        <v>46630</v>
      </c>
      <c r="I119" s="15">
        <v>360</v>
      </c>
      <c r="J119" s="18">
        <v>420</v>
      </c>
      <c r="K119" t="str">
        <f t="shared" si="1"/>
        <v>DE355-SDR17</v>
      </c>
      <c r="L119" s="1">
        <f>VLOOKUP(K119,'[1]Tarif - Evolution Marché'!$F:$H,3,0)</f>
        <v>45.354238683127569</v>
      </c>
    </row>
    <row r="120" spans="1:12" x14ac:dyDescent="0.3">
      <c r="A120" s="8" t="s">
        <v>23</v>
      </c>
      <c r="B120" s="11">
        <v>400</v>
      </c>
      <c r="C120" s="11" t="s">
        <v>7</v>
      </c>
      <c r="D120" s="11">
        <v>10</v>
      </c>
      <c r="E120" s="19">
        <v>57.3</v>
      </c>
      <c r="F120" s="11" t="s">
        <v>13</v>
      </c>
      <c r="G120" s="11" t="s">
        <v>15</v>
      </c>
      <c r="H120" s="12">
        <v>46630</v>
      </c>
      <c r="I120" s="11">
        <v>360</v>
      </c>
      <c r="J120" s="13">
        <v>420</v>
      </c>
      <c r="K120" t="str">
        <f t="shared" si="1"/>
        <v>DE400-SDR17</v>
      </c>
      <c r="L120" s="1">
        <f>VLOOKUP(K120,'[1]Tarif - Evolution Marché'!$F:$H,3,0)</f>
        <v>57.300221193415638</v>
      </c>
    </row>
    <row r="121" spans="1:12" x14ac:dyDescent="0.3">
      <c r="A121" s="14" t="s">
        <v>23</v>
      </c>
      <c r="B121" s="15">
        <v>450</v>
      </c>
      <c r="C121" s="15" t="s">
        <v>7</v>
      </c>
      <c r="D121" s="15">
        <v>10</v>
      </c>
      <c r="E121" s="16">
        <v>72.489999999999995</v>
      </c>
      <c r="F121" s="15" t="s">
        <v>13</v>
      </c>
      <c r="G121" s="15" t="s">
        <v>15</v>
      </c>
      <c r="H121" s="17">
        <v>46630</v>
      </c>
      <c r="I121" s="15">
        <v>192</v>
      </c>
      <c r="J121" s="18">
        <v>224</v>
      </c>
      <c r="K121" t="str">
        <f t="shared" si="1"/>
        <v>DE450-SDR17</v>
      </c>
      <c r="L121" s="1">
        <f>VLOOKUP(K121,'[1]Tarif - Evolution Marché'!$F:$H,3,0)</f>
        <v>72.485792181069954</v>
      </c>
    </row>
    <row r="122" spans="1:12" x14ac:dyDescent="0.3">
      <c r="A122" s="8" t="s">
        <v>23</v>
      </c>
      <c r="B122" s="11">
        <v>500</v>
      </c>
      <c r="C122" s="11" t="s">
        <v>7</v>
      </c>
      <c r="D122" s="11">
        <v>10</v>
      </c>
      <c r="E122" s="19">
        <v>89.49</v>
      </c>
      <c r="F122" s="11" t="s">
        <v>13</v>
      </c>
      <c r="G122" s="11" t="s">
        <v>15</v>
      </c>
      <c r="H122" s="12">
        <v>46630</v>
      </c>
      <c r="I122" s="11">
        <v>192</v>
      </c>
      <c r="J122" s="13">
        <v>224</v>
      </c>
      <c r="K122" t="str">
        <f t="shared" si="1"/>
        <v>DE500-SDR17</v>
      </c>
      <c r="L122" s="1">
        <f>VLOOKUP(K122,'[1]Tarif - Evolution Marché'!$F:$H,3,0)</f>
        <v>89.493631687242811</v>
      </c>
    </row>
    <row r="123" spans="1:12" x14ac:dyDescent="0.3">
      <c r="A123" s="14" t="s">
        <v>23</v>
      </c>
      <c r="B123" s="15">
        <v>560</v>
      </c>
      <c r="C123" s="15" t="s">
        <v>7</v>
      </c>
      <c r="D123" s="15">
        <v>10</v>
      </c>
      <c r="E123" s="16">
        <v>112.17</v>
      </c>
      <c r="F123" s="15" t="s">
        <v>13</v>
      </c>
      <c r="G123" s="15" t="s">
        <v>15</v>
      </c>
      <c r="H123" s="17">
        <v>46630</v>
      </c>
      <c r="I123" s="15">
        <v>192</v>
      </c>
      <c r="J123" s="18">
        <v>224</v>
      </c>
      <c r="K123" t="str">
        <f t="shared" si="1"/>
        <v>DE560-SDR17</v>
      </c>
      <c r="L123" s="1">
        <f>VLOOKUP(K123,'[1]Tarif - Evolution Marché'!$F:$H,3,0)</f>
        <v>112.17075102880658</v>
      </c>
    </row>
    <row r="124" spans="1:12" x14ac:dyDescent="0.3">
      <c r="A124" s="8" t="s">
        <v>23</v>
      </c>
      <c r="B124" s="11">
        <v>630</v>
      </c>
      <c r="C124" s="11" t="s">
        <v>7</v>
      </c>
      <c r="D124" s="11">
        <v>10</v>
      </c>
      <c r="E124" s="19">
        <v>142.13999999999999</v>
      </c>
      <c r="F124" s="11" t="s">
        <v>13</v>
      </c>
      <c r="G124" s="11" t="s">
        <v>15</v>
      </c>
      <c r="H124" s="12">
        <v>46630</v>
      </c>
      <c r="I124" s="11">
        <v>108</v>
      </c>
      <c r="J124" s="13">
        <v>126</v>
      </c>
      <c r="K124" t="str">
        <f t="shared" si="1"/>
        <v>DE630-SDR17</v>
      </c>
      <c r="L124" s="1">
        <f>VLOOKUP(K124,'[1]Tarif - Evolution Marché'!$F:$H,3,0)</f>
        <v>142.13694444444445</v>
      </c>
    </row>
    <row r="125" spans="1:12" x14ac:dyDescent="0.3">
      <c r="A125" s="14" t="s">
        <v>23</v>
      </c>
      <c r="B125" s="15">
        <v>710</v>
      </c>
      <c r="C125" s="15" t="s">
        <v>7</v>
      </c>
      <c r="D125" s="15">
        <v>10</v>
      </c>
      <c r="E125" s="16">
        <v>180.2</v>
      </c>
      <c r="F125" s="15" t="s">
        <v>13</v>
      </c>
      <c r="G125" s="15" t="s">
        <v>15</v>
      </c>
      <c r="H125" s="17">
        <v>46630</v>
      </c>
      <c r="I125" s="15">
        <v>108</v>
      </c>
      <c r="J125" s="18">
        <v>126</v>
      </c>
      <c r="K125" t="str">
        <f t="shared" si="1"/>
        <v>DE710-SDR17</v>
      </c>
      <c r="L125" s="1">
        <f>VLOOKUP(K125,'[1]Tarif - Evolution Marché'!$F:$H,3,0)</f>
        <v>180.20210905349794</v>
      </c>
    </row>
    <row r="126" spans="1:12" x14ac:dyDescent="0.3">
      <c r="A126" s="8" t="s">
        <v>23</v>
      </c>
      <c r="B126" s="11">
        <v>800</v>
      </c>
      <c r="C126" s="11" t="s">
        <v>7</v>
      </c>
      <c r="D126" s="11">
        <v>10</v>
      </c>
      <c r="E126" s="19">
        <v>228.8</v>
      </c>
      <c r="F126" s="11" t="s">
        <v>13</v>
      </c>
      <c r="G126" s="11" t="s">
        <v>15</v>
      </c>
      <c r="H126" s="12">
        <v>46630</v>
      </c>
      <c r="I126" s="11">
        <v>108</v>
      </c>
      <c r="J126" s="13">
        <v>126</v>
      </c>
      <c r="K126" t="str">
        <f t="shared" si="1"/>
        <v>DE800-SDR17</v>
      </c>
      <c r="L126" s="1">
        <f>VLOOKUP(K126,'[1]Tarif - Evolution Marché'!$F:$H,3,0)</f>
        <v>228.79593621399178</v>
      </c>
    </row>
    <row r="127" spans="1:12" x14ac:dyDescent="0.3">
      <c r="A127" s="14" t="s">
        <v>23</v>
      </c>
      <c r="B127" s="15">
        <v>900</v>
      </c>
      <c r="C127" s="15" t="s">
        <v>7</v>
      </c>
      <c r="D127" s="15">
        <v>10</v>
      </c>
      <c r="E127" s="16">
        <v>289.54000000000002</v>
      </c>
      <c r="F127" s="15" t="s">
        <v>13</v>
      </c>
      <c r="G127" s="15" t="s">
        <v>15</v>
      </c>
      <c r="H127" s="17">
        <v>46630</v>
      </c>
      <c r="I127" s="15">
        <v>72</v>
      </c>
      <c r="J127" s="18">
        <v>84</v>
      </c>
      <c r="K127" t="str">
        <f t="shared" si="1"/>
        <v>DE900-SDR17</v>
      </c>
      <c r="L127" s="1">
        <f>VLOOKUP(K127,'[1]Tarif - Evolution Marché'!$F:$H,3,0)</f>
        <v>289.53822016460907</v>
      </c>
    </row>
    <row r="128" spans="1:12" x14ac:dyDescent="0.3">
      <c r="A128" s="8" t="s">
        <v>23</v>
      </c>
      <c r="B128" s="11">
        <v>1000</v>
      </c>
      <c r="C128" s="11" t="s">
        <v>7</v>
      </c>
      <c r="D128" s="11">
        <v>10</v>
      </c>
      <c r="E128" s="19">
        <v>356.35</v>
      </c>
      <c r="F128" s="11" t="s">
        <v>13</v>
      </c>
      <c r="G128" s="11" t="s">
        <v>15</v>
      </c>
      <c r="H128" s="12">
        <v>46630</v>
      </c>
      <c r="I128" s="11">
        <v>48</v>
      </c>
      <c r="J128" s="13">
        <v>56</v>
      </c>
      <c r="K128" t="str">
        <f t="shared" si="1"/>
        <v>DE1000-SDR17</v>
      </c>
      <c r="L128" s="1">
        <f>VLOOKUP(K128,'[1]Tarif - Evolution Marché'!$F:$H,3,0)</f>
        <v>356.35473251028804</v>
      </c>
    </row>
    <row r="129" spans="1:12" x14ac:dyDescent="0.3">
      <c r="A129" s="14" t="s">
        <v>23</v>
      </c>
      <c r="B129" s="15">
        <v>25</v>
      </c>
      <c r="C129" s="15" t="s">
        <v>8</v>
      </c>
      <c r="D129" s="15">
        <v>12.5</v>
      </c>
      <c r="E129" s="16">
        <v>0.31</v>
      </c>
      <c r="F129" s="15" t="s">
        <v>13</v>
      </c>
      <c r="G129" s="15" t="s">
        <v>15</v>
      </c>
      <c r="H129" s="17">
        <v>46630</v>
      </c>
      <c r="I129" s="17"/>
      <c r="J129" s="18"/>
      <c r="K129" t="str">
        <f t="shared" si="1"/>
        <v>DE25-SDR13,6</v>
      </c>
      <c r="L129" s="1">
        <f>VLOOKUP(K129,'[1]Tarif - Evolution Marché'!$F:$H,3,0)</f>
        <v>0.30573616255144032</v>
      </c>
    </row>
    <row r="130" spans="1:12" x14ac:dyDescent="0.3">
      <c r="A130" s="8" t="s">
        <v>23</v>
      </c>
      <c r="B130" s="11">
        <v>32</v>
      </c>
      <c r="C130" s="11" t="s">
        <v>8</v>
      </c>
      <c r="D130" s="11">
        <v>12.5</v>
      </c>
      <c r="E130" s="19">
        <v>0.48</v>
      </c>
      <c r="F130" s="11" t="s">
        <v>13</v>
      </c>
      <c r="G130" s="11" t="s">
        <v>15</v>
      </c>
      <c r="H130" s="12">
        <v>46630</v>
      </c>
      <c r="I130" s="12"/>
      <c r="J130" s="13"/>
      <c r="K130" t="str">
        <f t="shared" si="1"/>
        <v>DE32-SDR13,6</v>
      </c>
      <c r="L130" s="1">
        <f>VLOOKUP(K130,'[1]Tarif - Evolution Marché'!$F:$H,3,0)</f>
        <v>0.47581455761316871</v>
      </c>
    </row>
    <row r="131" spans="1:12" x14ac:dyDescent="0.3">
      <c r="A131" s="14" t="s">
        <v>23</v>
      </c>
      <c r="B131" s="15">
        <v>40</v>
      </c>
      <c r="C131" s="15" t="s">
        <v>8</v>
      </c>
      <c r="D131" s="15">
        <v>12.5</v>
      </c>
      <c r="E131" s="16">
        <v>0.73</v>
      </c>
      <c r="F131" s="15" t="s">
        <v>13</v>
      </c>
      <c r="G131" s="15" t="s">
        <v>15</v>
      </c>
      <c r="H131" s="17">
        <v>46630</v>
      </c>
      <c r="I131" s="17"/>
      <c r="J131" s="18"/>
      <c r="K131" t="str">
        <f t="shared" ref="K131:K194" si="2">CONCATENATE("DE",B131,"-",C131)</f>
        <v>DE40-SDR13,6</v>
      </c>
      <c r="L131" s="1">
        <f>VLOOKUP(K131,'[1]Tarif - Evolution Marché'!$F:$H,3,0)</f>
        <v>0.72890740740740734</v>
      </c>
    </row>
    <row r="132" spans="1:12" x14ac:dyDescent="0.3">
      <c r="A132" s="8" t="s">
        <v>23</v>
      </c>
      <c r="B132" s="11">
        <v>50</v>
      </c>
      <c r="C132" s="11" t="s">
        <v>8</v>
      </c>
      <c r="D132" s="11">
        <v>12.5</v>
      </c>
      <c r="E132" s="19">
        <v>1.1200000000000001</v>
      </c>
      <c r="F132" s="11" t="s">
        <v>13</v>
      </c>
      <c r="G132" s="11" t="s">
        <v>15</v>
      </c>
      <c r="H132" s="12">
        <v>46630</v>
      </c>
      <c r="I132" s="12"/>
      <c r="J132" s="13"/>
      <c r="K132" t="str">
        <f t="shared" si="2"/>
        <v>DE50-SDR13,6</v>
      </c>
      <c r="L132" s="1">
        <f>VLOOKUP(K132,'[1]Tarif - Evolution Marché'!$F:$H,3,0)</f>
        <v>1.1237322530864198</v>
      </c>
    </row>
    <row r="133" spans="1:12" x14ac:dyDescent="0.3">
      <c r="A133" s="14" t="s">
        <v>23</v>
      </c>
      <c r="B133" s="15">
        <v>63</v>
      </c>
      <c r="C133" s="15" t="s">
        <v>8</v>
      </c>
      <c r="D133" s="15">
        <v>12.5</v>
      </c>
      <c r="E133" s="16">
        <v>1.79</v>
      </c>
      <c r="F133" s="15" t="s">
        <v>13</v>
      </c>
      <c r="G133" s="15" t="s">
        <v>15</v>
      </c>
      <c r="H133" s="17">
        <v>46630</v>
      </c>
      <c r="I133" s="17"/>
      <c r="J133" s="18"/>
      <c r="K133" t="str">
        <f t="shared" si="2"/>
        <v>DE63-SDR13,6</v>
      </c>
      <c r="L133" s="1">
        <f>VLOOKUP(K133,'[1]Tarif - Evolution Marché'!$F:$H,3,0)</f>
        <v>1.7878478909465021</v>
      </c>
    </row>
    <row r="134" spans="1:12" x14ac:dyDescent="0.3">
      <c r="A134" s="8" t="s">
        <v>23</v>
      </c>
      <c r="B134" s="11">
        <v>75</v>
      </c>
      <c r="C134" s="11" t="s">
        <v>8</v>
      </c>
      <c r="D134" s="11">
        <v>12.5</v>
      </c>
      <c r="E134" s="19">
        <v>2.5299999999999998</v>
      </c>
      <c r="F134" s="11" t="s">
        <v>13</v>
      </c>
      <c r="G134" s="11" t="s">
        <v>15</v>
      </c>
      <c r="H134" s="12">
        <v>46630</v>
      </c>
      <c r="I134" s="12"/>
      <c r="J134" s="13"/>
      <c r="K134" t="str">
        <f t="shared" si="2"/>
        <v>DE75-SDR13,6</v>
      </c>
      <c r="L134" s="1">
        <f>VLOOKUP(K134,'[1]Tarif - Evolution Marché'!$F:$H,3,0)</f>
        <v>2.5309284979423867</v>
      </c>
    </row>
    <row r="135" spans="1:12" x14ac:dyDescent="0.3">
      <c r="A135" s="14" t="s">
        <v>23</v>
      </c>
      <c r="B135" s="15">
        <v>90</v>
      </c>
      <c r="C135" s="15" t="s">
        <v>8</v>
      </c>
      <c r="D135" s="15">
        <v>12.5</v>
      </c>
      <c r="E135" s="16">
        <v>3.62</v>
      </c>
      <c r="F135" s="15" t="s">
        <v>13</v>
      </c>
      <c r="G135" s="15" t="s">
        <v>15</v>
      </c>
      <c r="H135" s="17">
        <v>46630</v>
      </c>
      <c r="I135" s="17"/>
      <c r="J135" s="18"/>
      <c r="K135" t="str">
        <f t="shared" si="2"/>
        <v>DE90-SDR13,6</v>
      </c>
      <c r="L135" s="1">
        <f>VLOOKUP(K135,'[1]Tarif - Evolution Marché'!$F:$H,3,0)</f>
        <v>3.624289609053498</v>
      </c>
    </row>
    <row r="136" spans="1:12" x14ac:dyDescent="0.3">
      <c r="A136" s="8" t="s">
        <v>23</v>
      </c>
      <c r="B136" s="11">
        <v>110</v>
      </c>
      <c r="C136" s="11" t="s">
        <v>8</v>
      </c>
      <c r="D136" s="11">
        <v>12.5</v>
      </c>
      <c r="E136" s="19">
        <v>5.35</v>
      </c>
      <c r="F136" s="11" t="s">
        <v>13</v>
      </c>
      <c r="G136" s="11" t="s">
        <v>15</v>
      </c>
      <c r="H136" s="12">
        <v>46630</v>
      </c>
      <c r="I136" s="12"/>
      <c r="J136" s="13"/>
      <c r="K136" t="str">
        <f t="shared" si="2"/>
        <v>DE110-SDR13,6</v>
      </c>
      <c r="L136" s="1">
        <f>VLOOKUP(K136,'[1]Tarif - Evolution Marché'!$F:$H,3,0)</f>
        <v>5.3453209876543211</v>
      </c>
    </row>
    <row r="137" spans="1:12" x14ac:dyDescent="0.3">
      <c r="A137" s="14" t="s">
        <v>23</v>
      </c>
      <c r="B137" s="15">
        <v>125</v>
      </c>
      <c r="C137" s="15" t="s">
        <v>8</v>
      </c>
      <c r="D137" s="15">
        <v>12.5</v>
      </c>
      <c r="E137" s="16">
        <v>6.88</v>
      </c>
      <c r="F137" s="15" t="s">
        <v>13</v>
      </c>
      <c r="G137" s="15" t="s">
        <v>15</v>
      </c>
      <c r="H137" s="17">
        <v>46630</v>
      </c>
      <c r="I137" s="15">
        <v>2400</v>
      </c>
      <c r="J137" s="18">
        <v>2800</v>
      </c>
      <c r="K137" t="str">
        <f t="shared" si="2"/>
        <v>DE125-SDR13,6</v>
      </c>
      <c r="L137" s="1">
        <f>VLOOKUP(K137,'[1]Tarif - Evolution Marché'!$F:$H,3,0)</f>
        <v>6.8841255144032916</v>
      </c>
    </row>
    <row r="138" spans="1:12" x14ac:dyDescent="0.3">
      <c r="A138" s="8" t="s">
        <v>23</v>
      </c>
      <c r="B138" s="11">
        <v>140</v>
      </c>
      <c r="C138" s="11" t="s">
        <v>8</v>
      </c>
      <c r="D138" s="11">
        <v>12.5</v>
      </c>
      <c r="E138" s="19">
        <v>8.6300000000000008</v>
      </c>
      <c r="F138" s="11" t="s">
        <v>13</v>
      </c>
      <c r="G138" s="11" t="s">
        <v>15</v>
      </c>
      <c r="H138" s="12">
        <v>46630</v>
      </c>
      <c r="I138" s="11">
        <v>1920</v>
      </c>
      <c r="J138" s="13">
        <v>2240</v>
      </c>
      <c r="K138" t="str">
        <f t="shared" si="2"/>
        <v>DE140-SDR13,6</v>
      </c>
      <c r="L138" s="1">
        <f>VLOOKUP(K138,'[1]Tarif - Evolution Marché'!$F:$H,3,0)</f>
        <v>8.6254043209876539</v>
      </c>
    </row>
    <row r="139" spans="1:12" x14ac:dyDescent="0.3">
      <c r="A139" s="14" t="s">
        <v>23</v>
      </c>
      <c r="B139" s="15">
        <v>160</v>
      </c>
      <c r="C139" s="15" t="s">
        <v>8</v>
      </c>
      <c r="D139" s="15">
        <v>12.5</v>
      </c>
      <c r="E139" s="16">
        <v>11.26</v>
      </c>
      <c r="F139" s="15" t="s">
        <v>13</v>
      </c>
      <c r="G139" s="15" t="s">
        <v>15</v>
      </c>
      <c r="H139" s="17">
        <v>46630</v>
      </c>
      <c r="I139" s="15">
        <v>1920</v>
      </c>
      <c r="J139" s="18">
        <v>2240</v>
      </c>
      <c r="K139" t="str">
        <f t="shared" si="2"/>
        <v>DE160-SDR13,6</v>
      </c>
      <c r="L139" s="1">
        <f>VLOOKUP(K139,'[1]Tarif - Evolution Marché'!$F:$H,3,0)</f>
        <v>11.257569958847736</v>
      </c>
    </row>
    <row r="140" spans="1:12" x14ac:dyDescent="0.3">
      <c r="A140" s="8" t="s">
        <v>23</v>
      </c>
      <c r="B140" s="11">
        <v>180</v>
      </c>
      <c r="C140" s="11" t="s">
        <v>8</v>
      </c>
      <c r="D140" s="11">
        <v>12.5</v>
      </c>
      <c r="E140" s="19">
        <v>14.27</v>
      </c>
      <c r="F140" s="11" t="s">
        <v>13</v>
      </c>
      <c r="G140" s="11" t="s">
        <v>15</v>
      </c>
      <c r="H140" s="12">
        <v>46630</v>
      </c>
      <c r="I140" s="11">
        <v>1200</v>
      </c>
      <c r="J140" s="13">
        <v>1400</v>
      </c>
      <c r="K140" t="str">
        <f t="shared" si="2"/>
        <v>DE180-SDR13,6</v>
      </c>
      <c r="L140" s="1">
        <f>VLOOKUP(K140,'[1]Tarif - Evolution Marché'!$F:$H,3,0)</f>
        <v>14.274436728395061</v>
      </c>
    </row>
    <row r="141" spans="1:12" x14ac:dyDescent="0.3">
      <c r="A141" s="14" t="s">
        <v>23</v>
      </c>
      <c r="B141" s="15">
        <v>200</v>
      </c>
      <c r="C141" s="15" t="s">
        <v>8</v>
      </c>
      <c r="D141" s="15">
        <v>12.5</v>
      </c>
      <c r="E141" s="16">
        <v>17.510000000000002</v>
      </c>
      <c r="F141" s="15" t="s">
        <v>13</v>
      </c>
      <c r="G141" s="15" t="s">
        <v>15</v>
      </c>
      <c r="H141" s="17">
        <v>46630</v>
      </c>
      <c r="I141" s="15">
        <v>960</v>
      </c>
      <c r="J141" s="18">
        <v>1120</v>
      </c>
      <c r="K141" t="str">
        <f t="shared" si="2"/>
        <v>DE200-SDR13,6</v>
      </c>
      <c r="L141" s="1">
        <f>VLOOKUP(K141,'[1]Tarif - Evolution Marché'!$F:$H,3,0)</f>
        <v>17.514025205761317</v>
      </c>
    </row>
    <row r="142" spans="1:12" x14ac:dyDescent="0.3">
      <c r="A142" s="8" t="s">
        <v>23</v>
      </c>
      <c r="B142" s="11">
        <v>225</v>
      </c>
      <c r="C142" s="11" t="s">
        <v>8</v>
      </c>
      <c r="D142" s="11">
        <v>12.5</v>
      </c>
      <c r="E142" s="19">
        <v>22.27</v>
      </c>
      <c r="F142" s="11" t="s">
        <v>13</v>
      </c>
      <c r="G142" s="11" t="s">
        <v>15</v>
      </c>
      <c r="H142" s="12">
        <v>46630</v>
      </c>
      <c r="I142" s="11">
        <v>960</v>
      </c>
      <c r="J142" s="13">
        <v>1120</v>
      </c>
      <c r="K142" t="str">
        <f t="shared" si="2"/>
        <v>DE225-SDR13,6</v>
      </c>
      <c r="L142" s="1">
        <f>VLOOKUP(K142,'[1]Tarif - Evolution Marché'!$F:$H,3,0)</f>
        <v>22.272170781893003</v>
      </c>
    </row>
    <row r="143" spans="1:12" x14ac:dyDescent="0.3">
      <c r="A143" s="14" t="s">
        <v>23</v>
      </c>
      <c r="B143" s="15">
        <v>250</v>
      </c>
      <c r="C143" s="15" t="s">
        <v>8</v>
      </c>
      <c r="D143" s="15">
        <v>12.5</v>
      </c>
      <c r="E143" s="16">
        <v>27.33</v>
      </c>
      <c r="F143" s="15" t="s">
        <v>13</v>
      </c>
      <c r="G143" s="15" t="s">
        <v>15</v>
      </c>
      <c r="H143" s="17">
        <v>46630</v>
      </c>
      <c r="I143" s="15">
        <v>672</v>
      </c>
      <c r="J143" s="18">
        <v>784</v>
      </c>
      <c r="K143" t="str">
        <f t="shared" si="2"/>
        <v>DE250-SDR13,6</v>
      </c>
      <c r="L143" s="1">
        <f>VLOOKUP(K143,'[1]Tarif - Evolution Marché'!$F:$H,3,0)</f>
        <v>27.334027777777777</v>
      </c>
    </row>
    <row r="144" spans="1:12" x14ac:dyDescent="0.3">
      <c r="A144" s="8" t="s">
        <v>23</v>
      </c>
      <c r="B144" s="11">
        <v>280</v>
      </c>
      <c r="C144" s="11" t="s">
        <v>8</v>
      </c>
      <c r="D144" s="11">
        <v>12.5</v>
      </c>
      <c r="E144" s="19">
        <v>34.22</v>
      </c>
      <c r="F144" s="11" t="s">
        <v>13</v>
      </c>
      <c r="G144" s="11" t="s">
        <v>15</v>
      </c>
      <c r="H144" s="12">
        <v>46630</v>
      </c>
      <c r="I144" s="11">
        <v>672</v>
      </c>
      <c r="J144" s="13">
        <v>784</v>
      </c>
      <c r="K144" t="str">
        <f t="shared" si="2"/>
        <v>DE280-SDR13,6</v>
      </c>
      <c r="L144" s="1">
        <f>VLOOKUP(K144,'[1]Tarif - Evolution Marché'!$F:$H,3,0)</f>
        <v>34.218153292181064</v>
      </c>
    </row>
    <row r="145" spans="1:12" x14ac:dyDescent="0.3">
      <c r="A145" s="14" t="s">
        <v>23</v>
      </c>
      <c r="B145" s="15">
        <v>315</v>
      </c>
      <c r="C145" s="15" t="s">
        <v>8</v>
      </c>
      <c r="D145" s="15">
        <v>12.5</v>
      </c>
      <c r="E145" s="16">
        <v>43.53</v>
      </c>
      <c r="F145" s="15" t="s">
        <v>13</v>
      </c>
      <c r="G145" s="15" t="s">
        <v>15</v>
      </c>
      <c r="H145" s="17">
        <v>46630</v>
      </c>
      <c r="I145" s="15">
        <v>432</v>
      </c>
      <c r="J145" s="18">
        <v>504</v>
      </c>
      <c r="K145" t="str">
        <f t="shared" si="2"/>
        <v>DE315-SDR13,6</v>
      </c>
      <c r="L145" s="1">
        <f>VLOOKUP(K145,'[1]Tarif - Evolution Marché'!$F:$H,3,0)</f>
        <v>43.531970164609056</v>
      </c>
    </row>
    <row r="146" spans="1:12" x14ac:dyDescent="0.3">
      <c r="A146" s="8" t="s">
        <v>23</v>
      </c>
      <c r="B146" s="11">
        <v>355</v>
      </c>
      <c r="C146" s="11" t="s">
        <v>8</v>
      </c>
      <c r="D146" s="11">
        <v>12.5</v>
      </c>
      <c r="E146" s="19">
        <v>55.07</v>
      </c>
      <c r="F146" s="11" t="s">
        <v>13</v>
      </c>
      <c r="G146" s="11" t="s">
        <v>15</v>
      </c>
      <c r="H146" s="12">
        <v>46630</v>
      </c>
      <c r="I146" s="11">
        <v>360</v>
      </c>
      <c r="J146" s="13">
        <v>420</v>
      </c>
      <c r="K146" t="str">
        <f t="shared" si="2"/>
        <v>DE355-SDR13,6</v>
      </c>
      <c r="L146" s="1">
        <f>VLOOKUP(K146,'[1]Tarif - Evolution Marché'!$F:$H,3,0)</f>
        <v>55.073004115226333</v>
      </c>
    </row>
    <row r="147" spans="1:12" x14ac:dyDescent="0.3">
      <c r="A147" s="14" t="s">
        <v>23</v>
      </c>
      <c r="B147" s="15">
        <v>400</v>
      </c>
      <c r="C147" s="15" t="s">
        <v>8</v>
      </c>
      <c r="D147" s="15">
        <v>12.5</v>
      </c>
      <c r="E147" s="16">
        <v>69.849999999999994</v>
      </c>
      <c r="F147" s="15" t="s">
        <v>13</v>
      </c>
      <c r="G147" s="15" t="s">
        <v>15</v>
      </c>
      <c r="H147" s="17">
        <v>46630</v>
      </c>
      <c r="I147" s="15">
        <v>360</v>
      </c>
      <c r="J147" s="18">
        <v>420</v>
      </c>
      <c r="K147" t="str">
        <f t="shared" si="2"/>
        <v>DE400-SDR13,6</v>
      </c>
      <c r="L147" s="1">
        <f>VLOOKUP(K147,'[1]Tarif - Evolution Marché'!$F:$H,3,0)</f>
        <v>69.85362654320987</v>
      </c>
    </row>
    <row r="148" spans="1:12" x14ac:dyDescent="0.3">
      <c r="A148" s="8" t="s">
        <v>23</v>
      </c>
      <c r="B148" s="11">
        <v>450</v>
      </c>
      <c r="C148" s="11" t="s">
        <v>8</v>
      </c>
      <c r="D148" s="11">
        <v>12.5</v>
      </c>
      <c r="E148" s="19">
        <v>88.48</v>
      </c>
      <c r="F148" s="11" t="s">
        <v>13</v>
      </c>
      <c r="G148" s="11" t="s">
        <v>15</v>
      </c>
      <c r="H148" s="12">
        <v>46630</v>
      </c>
      <c r="I148" s="11">
        <v>192</v>
      </c>
      <c r="J148" s="13">
        <v>224</v>
      </c>
      <c r="K148" t="str">
        <f t="shared" si="2"/>
        <v>DE450-SDR13,6</v>
      </c>
      <c r="L148" s="1">
        <f>VLOOKUP(K148,'[1]Tarif - Evolution Marché'!$F:$H,3,0)</f>
        <v>88.481260288065855</v>
      </c>
    </row>
    <row r="149" spans="1:12" x14ac:dyDescent="0.3">
      <c r="A149" s="14" t="s">
        <v>23</v>
      </c>
      <c r="B149" s="15">
        <v>500</v>
      </c>
      <c r="C149" s="15" t="s">
        <v>8</v>
      </c>
      <c r="D149" s="15">
        <v>12.5</v>
      </c>
      <c r="E149" s="16">
        <v>109.13</v>
      </c>
      <c r="F149" s="15" t="s">
        <v>13</v>
      </c>
      <c r="G149" s="15" t="s">
        <v>15</v>
      </c>
      <c r="H149" s="17">
        <v>46630</v>
      </c>
      <c r="I149" s="15">
        <v>192</v>
      </c>
      <c r="J149" s="18">
        <v>224</v>
      </c>
      <c r="K149" t="str">
        <f t="shared" si="2"/>
        <v>DE500-SDR13,6</v>
      </c>
      <c r="L149" s="1">
        <f>VLOOKUP(K149,'[1]Tarif - Evolution Marché'!$F:$H,3,0)</f>
        <v>109.13363683127572</v>
      </c>
    </row>
    <row r="150" spans="1:12" x14ac:dyDescent="0.3">
      <c r="A150" s="8" t="s">
        <v>23</v>
      </c>
      <c r="B150" s="11">
        <v>560</v>
      </c>
      <c r="C150" s="11" t="s">
        <v>8</v>
      </c>
      <c r="D150" s="11">
        <v>12.5</v>
      </c>
      <c r="E150" s="19">
        <v>136.87</v>
      </c>
      <c r="F150" s="11" t="s">
        <v>13</v>
      </c>
      <c r="G150" s="11" t="s">
        <v>15</v>
      </c>
      <c r="H150" s="12">
        <v>46630</v>
      </c>
      <c r="I150" s="11">
        <v>192</v>
      </c>
      <c r="J150" s="13">
        <v>224</v>
      </c>
      <c r="K150" t="str">
        <f t="shared" si="2"/>
        <v>DE560-SDR13,6</v>
      </c>
      <c r="L150" s="1">
        <f>VLOOKUP(K150,'[1]Tarif - Evolution Marché'!$F:$H,3,0)</f>
        <v>136.87261316872426</v>
      </c>
    </row>
    <row r="151" spans="1:12" x14ac:dyDescent="0.3">
      <c r="A151" s="14" t="s">
        <v>23</v>
      </c>
      <c r="B151" s="15">
        <v>630</v>
      </c>
      <c r="C151" s="15" t="s">
        <v>8</v>
      </c>
      <c r="D151" s="15">
        <v>12.5</v>
      </c>
      <c r="E151" s="16">
        <v>173.12</v>
      </c>
      <c r="F151" s="15" t="s">
        <v>13</v>
      </c>
      <c r="G151" s="15" t="s">
        <v>15</v>
      </c>
      <c r="H151" s="17">
        <v>46630</v>
      </c>
      <c r="I151" s="15">
        <v>108</v>
      </c>
      <c r="J151" s="18">
        <v>126</v>
      </c>
      <c r="K151" t="str">
        <f t="shared" si="2"/>
        <v>DE630-SDR13,6</v>
      </c>
      <c r="L151" s="1">
        <f>VLOOKUP(K151,'[1]Tarif - Evolution Marché'!$F:$H,3,0)</f>
        <v>173.11550925925926</v>
      </c>
    </row>
    <row r="152" spans="1:12" x14ac:dyDescent="0.3">
      <c r="A152" s="8" t="s">
        <v>23</v>
      </c>
      <c r="B152" s="11">
        <v>710</v>
      </c>
      <c r="C152" s="11" t="s">
        <v>8</v>
      </c>
      <c r="D152" s="11">
        <v>12.5</v>
      </c>
      <c r="E152" s="19">
        <v>220.7</v>
      </c>
      <c r="F152" s="11" t="s">
        <v>13</v>
      </c>
      <c r="G152" s="11" t="s">
        <v>15</v>
      </c>
      <c r="H152" s="12">
        <v>46630</v>
      </c>
      <c r="I152" s="11">
        <v>108</v>
      </c>
      <c r="J152" s="13">
        <v>126</v>
      </c>
      <c r="K152" t="str">
        <f t="shared" si="2"/>
        <v>DE710-SDR13,6</v>
      </c>
      <c r="L152" s="1">
        <f>VLOOKUP(K152,'[1]Tarif - Evolution Marché'!$F:$H,3,0)</f>
        <v>220.69696502057613</v>
      </c>
    </row>
    <row r="153" spans="1:12" x14ac:dyDescent="0.3">
      <c r="A153" s="14" t="s">
        <v>23</v>
      </c>
      <c r="B153" s="15">
        <v>800</v>
      </c>
      <c r="C153" s="15" t="s">
        <v>8</v>
      </c>
      <c r="D153" s="15">
        <v>12.5</v>
      </c>
      <c r="E153" s="16">
        <v>279.41000000000003</v>
      </c>
      <c r="F153" s="15" t="s">
        <v>13</v>
      </c>
      <c r="G153" s="15" t="s">
        <v>15</v>
      </c>
      <c r="H153" s="17">
        <v>46630</v>
      </c>
      <c r="I153" s="15">
        <v>108</v>
      </c>
      <c r="J153" s="18">
        <v>126</v>
      </c>
      <c r="K153" t="str">
        <f t="shared" si="2"/>
        <v>DE800-SDR13,6</v>
      </c>
      <c r="L153" s="1">
        <f>VLOOKUP(K153,'[1]Tarif - Evolution Marché'!$F:$H,3,0)</f>
        <v>279.41450617283948</v>
      </c>
    </row>
    <row r="154" spans="1:12" x14ac:dyDescent="0.3">
      <c r="A154" s="8" t="s">
        <v>23</v>
      </c>
      <c r="B154" s="11">
        <v>900</v>
      </c>
      <c r="C154" s="11" t="s">
        <v>8</v>
      </c>
      <c r="D154" s="11">
        <v>12.5</v>
      </c>
      <c r="E154" s="19">
        <v>352.31</v>
      </c>
      <c r="F154" s="11" t="s">
        <v>13</v>
      </c>
      <c r="G154" s="11" t="s">
        <v>15</v>
      </c>
      <c r="H154" s="12">
        <v>46630</v>
      </c>
      <c r="I154" s="11">
        <v>72</v>
      </c>
      <c r="J154" s="13">
        <v>84</v>
      </c>
      <c r="K154" t="str">
        <f t="shared" si="2"/>
        <v>DE900-SDR13,6</v>
      </c>
      <c r="L154" s="1">
        <f>VLOOKUP(K154,'[1]Tarif - Evolution Marché'!$F:$H,3,0)</f>
        <v>352.30524691358022</v>
      </c>
    </row>
    <row r="155" spans="1:12" x14ac:dyDescent="0.3">
      <c r="A155" s="14" t="s">
        <v>23</v>
      </c>
      <c r="B155" s="15">
        <v>20</v>
      </c>
      <c r="C155" s="15" t="s">
        <v>9</v>
      </c>
      <c r="D155" s="15">
        <v>16</v>
      </c>
      <c r="E155" s="16">
        <v>0.24</v>
      </c>
      <c r="F155" s="15" t="s">
        <v>13</v>
      </c>
      <c r="G155" s="15" t="s">
        <v>15</v>
      </c>
      <c r="H155" s="17">
        <v>46630</v>
      </c>
      <c r="I155" s="17"/>
      <c r="J155" s="18"/>
      <c r="K155" t="str">
        <f t="shared" si="2"/>
        <v>DE20-SDR11</v>
      </c>
      <c r="L155" s="1">
        <f>VLOOKUP(K155,'[1]Tarif - Evolution Marché'!$F:$H,3,0)</f>
        <v>0.23891965020576131</v>
      </c>
    </row>
    <row r="156" spans="1:12" x14ac:dyDescent="0.3">
      <c r="A156" s="8" t="s">
        <v>23</v>
      </c>
      <c r="B156" s="11">
        <v>25</v>
      </c>
      <c r="C156" s="11" t="s">
        <v>9</v>
      </c>
      <c r="D156" s="11">
        <v>16</v>
      </c>
      <c r="E156" s="19">
        <v>0.35</v>
      </c>
      <c r="F156" s="11" t="s">
        <v>13</v>
      </c>
      <c r="G156" s="11" t="s">
        <v>15</v>
      </c>
      <c r="H156" s="12">
        <v>46630</v>
      </c>
      <c r="I156" s="12"/>
      <c r="J156" s="13"/>
      <c r="K156" t="str">
        <f t="shared" si="2"/>
        <v>DE25-SDR11</v>
      </c>
      <c r="L156" s="1">
        <f>VLOOKUP(K156,'[1]Tarif - Evolution Marché'!$F:$H,3,0)</f>
        <v>0.35028050411522632</v>
      </c>
    </row>
    <row r="157" spans="1:12" x14ac:dyDescent="0.3">
      <c r="A157" s="14" t="s">
        <v>23</v>
      </c>
      <c r="B157" s="15">
        <v>32</v>
      </c>
      <c r="C157" s="15" t="s">
        <v>9</v>
      </c>
      <c r="D157" s="15">
        <v>16</v>
      </c>
      <c r="E157" s="16">
        <v>0.56999999999999995</v>
      </c>
      <c r="F157" s="15" t="s">
        <v>13</v>
      </c>
      <c r="G157" s="15" t="s">
        <v>15</v>
      </c>
      <c r="H157" s="17">
        <v>46630</v>
      </c>
      <c r="I157" s="17"/>
      <c r="J157" s="18"/>
      <c r="K157" t="str">
        <f t="shared" si="2"/>
        <v>DE32-SDR11</v>
      </c>
      <c r="L157" s="1">
        <f>VLOOKUP(K157,'[1]Tarif - Evolution Marché'!$F:$H,3,0)</f>
        <v>0.57097746913580238</v>
      </c>
    </row>
    <row r="158" spans="1:12" x14ac:dyDescent="0.3">
      <c r="A158" s="8" t="s">
        <v>23</v>
      </c>
      <c r="B158" s="11">
        <v>40</v>
      </c>
      <c r="C158" s="11" t="s">
        <v>9</v>
      </c>
      <c r="D158" s="11">
        <v>16</v>
      </c>
      <c r="E158" s="19">
        <v>0.88</v>
      </c>
      <c r="F158" s="11" t="s">
        <v>13</v>
      </c>
      <c r="G158" s="11" t="s">
        <v>15</v>
      </c>
      <c r="H158" s="12">
        <v>46630</v>
      </c>
      <c r="I158" s="12"/>
      <c r="J158" s="13"/>
      <c r="K158" t="str">
        <f t="shared" si="2"/>
        <v>DE40-SDR11</v>
      </c>
      <c r="L158" s="1">
        <f>VLOOKUP(K158,'[1]Tarif - Evolution Marché'!$F:$H,3,0)</f>
        <v>0.87873837448559666</v>
      </c>
    </row>
    <row r="159" spans="1:12" x14ac:dyDescent="0.3">
      <c r="A159" s="14" t="s">
        <v>23</v>
      </c>
      <c r="B159" s="15">
        <v>50</v>
      </c>
      <c r="C159" s="15" t="s">
        <v>9</v>
      </c>
      <c r="D159" s="15">
        <v>16</v>
      </c>
      <c r="E159" s="16">
        <v>1.36</v>
      </c>
      <c r="F159" s="15" t="s">
        <v>13</v>
      </c>
      <c r="G159" s="15" t="s">
        <v>15</v>
      </c>
      <c r="H159" s="17">
        <v>46630</v>
      </c>
      <c r="I159" s="17"/>
      <c r="J159" s="18"/>
      <c r="K159" t="str">
        <f t="shared" si="2"/>
        <v>DE50-SDR11</v>
      </c>
      <c r="L159" s="1">
        <f>VLOOKUP(K159,'[1]Tarif - Evolution Marché'!$F:$H,3,0)</f>
        <v>1.3626519032921811</v>
      </c>
    </row>
    <row r="160" spans="1:12" x14ac:dyDescent="0.3">
      <c r="A160" s="8" t="s">
        <v>23</v>
      </c>
      <c r="B160" s="11">
        <v>63</v>
      </c>
      <c r="C160" s="11" t="s">
        <v>9</v>
      </c>
      <c r="D160" s="11">
        <v>16</v>
      </c>
      <c r="E160" s="19">
        <v>2.15</v>
      </c>
      <c r="F160" s="11" t="s">
        <v>13</v>
      </c>
      <c r="G160" s="11" t="s">
        <v>15</v>
      </c>
      <c r="H160" s="12">
        <v>46630</v>
      </c>
      <c r="I160" s="12"/>
      <c r="J160" s="13"/>
      <c r="K160" t="str">
        <f t="shared" si="2"/>
        <v>DE63-SDR11</v>
      </c>
      <c r="L160" s="1">
        <f>VLOOKUP(K160,'[1]Tarif - Evolution Marché'!$F:$H,3,0)</f>
        <v>2.1462273662551441</v>
      </c>
    </row>
    <row r="161" spans="1:12" x14ac:dyDescent="0.3">
      <c r="A161" s="14" t="s">
        <v>23</v>
      </c>
      <c r="B161" s="15">
        <v>75</v>
      </c>
      <c r="C161" s="15" t="s">
        <v>9</v>
      </c>
      <c r="D161" s="15">
        <v>16</v>
      </c>
      <c r="E161" s="16">
        <v>3</v>
      </c>
      <c r="F161" s="15" t="s">
        <v>13</v>
      </c>
      <c r="G161" s="15" t="s">
        <v>15</v>
      </c>
      <c r="H161" s="17">
        <v>46630</v>
      </c>
      <c r="I161" s="17"/>
      <c r="J161" s="18"/>
      <c r="K161" t="str">
        <f t="shared" si="2"/>
        <v>DE75-SDR11</v>
      </c>
      <c r="L161" s="1">
        <f>VLOOKUP(K161,'[1]Tarif - Evolution Marché'!$F:$H,3,0)</f>
        <v>2.9966193415637861</v>
      </c>
    </row>
    <row r="162" spans="1:12" x14ac:dyDescent="0.3">
      <c r="A162" s="8" t="s">
        <v>23</v>
      </c>
      <c r="B162" s="11">
        <v>90</v>
      </c>
      <c r="C162" s="11" t="s">
        <v>9</v>
      </c>
      <c r="D162" s="11">
        <v>16</v>
      </c>
      <c r="E162" s="19">
        <v>4.33</v>
      </c>
      <c r="F162" s="11" t="s">
        <v>13</v>
      </c>
      <c r="G162" s="11" t="s">
        <v>15</v>
      </c>
      <c r="H162" s="12">
        <v>46630</v>
      </c>
      <c r="I162" s="12"/>
      <c r="J162" s="13"/>
      <c r="K162" t="str">
        <f t="shared" si="2"/>
        <v>DE90-SDR11</v>
      </c>
      <c r="L162" s="1">
        <f>VLOOKUP(K162,'[1]Tarif - Evolution Marché'!$F:$H,3,0)</f>
        <v>4.3329495884773666</v>
      </c>
    </row>
    <row r="163" spans="1:12" x14ac:dyDescent="0.3">
      <c r="A163" s="14" t="s">
        <v>23</v>
      </c>
      <c r="B163" s="15">
        <v>110</v>
      </c>
      <c r="C163" s="15" t="s">
        <v>9</v>
      </c>
      <c r="D163" s="15">
        <v>16</v>
      </c>
      <c r="E163" s="16">
        <v>6.44</v>
      </c>
      <c r="F163" s="15" t="s">
        <v>13</v>
      </c>
      <c r="G163" s="15" t="s">
        <v>15</v>
      </c>
      <c r="H163" s="17">
        <v>46630</v>
      </c>
      <c r="I163" s="17"/>
      <c r="J163" s="18"/>
      <c r="K163" t="str">
        <f t="shared" si="2"/>
        <v>DE110-SDR11</v>
      </c>
      <c r="L163" s="1">
        <f>VLOOKUP(K163,'[1]Tarif - Evolution Marché'!$F:$H,3,0)</f>
        <v>6.4386820987654323</v>
      </c>
    </row>
    <row r="164" spans="1:12" x14ac:dyDescent="0.3">
      <c r="A164" s="8" t="s">
        <v>23</v>
      </c>
      <c r="B164" s="11">
        <v>125</v>
      </c>
      <c r="C164" s="11" t="s">
        <v>9</v>
      </c>
      <c r="D164" s="11">
        <v>16</v>
      </c>
      <c r="E164" s="19">
        <v>8.34</v>
      </c>
      <c r="F164" s="11" t="s">
        <v>13</v>
      </c>
      <c r="G164" s="11" t="s">
        <v>15</v>
      </c>
      <c r="H164" s="12">
        <v>46630</v>
      </c>
      <c r="I164" s="11">
        <v>2400</v>
      </c>
      <c r="J164" s="13">
        <v>2800</v>
      </c>
      <c r="K164" t="str">
        <f t="shared" si="2"/>
        <v>DE125-SDR11</v>
      </c>
      <c r="L164" s="1">
        <f>VLOOKUP(K164,'[1]Tarif - Evolution Marché'!$F:$H,3,0)</f>
        <v>8.341940329218108</v>
      </c>
    </row>
    <row r="165" spans="1:12" x14ac:dyDescent="0.3">
      <c r="A165" s="14" t="s">
        <v>23</v>
      </c>
      <c r="B165" s="15">
        <v>140</v>
      </c>
      <c r="C165" s="15" t="s">
        <v>9</v>
      </c>
      <c r="D165" s="15">
        <v>16</v>
      </c>
      <c r="E165" s="16">
        <v>10.39</v>
      </c>
      <c r="F165" s="15" t="s">
        <v>13</v>
      </c>
      <c r="G165" s="15" t="s">
        <v>15</v>
      </c>
      <c r="H165" s="17">
        <v>46630</v>
      </c>
      <c r="I165" s="15">
        <v>1920</v>
      </c>
      <c r="J165" s="18">
        <v>2240</v>
      </c>
      <c r="K165" t="str">
        <f t="shared" si="2"/>
        <v>DE140-SDR11</v>
      </c>
      <c r="L165" s="1">
        <f>VLOOKUP(K165,'[1]Tarif - Evolution Marché'!$F:$H,3,0)</f>
        <v>10.386930555555555</v>
      </c>
    </row>
    <row r="166" spans="1:12" x14ac:dyDescent="0.3">
      <c r="A166" s="8" t="s">
        <v>23</v>
      </c>
      <c r="B166" s="11">
        <v>160</v>
      </c>
      <c r="C166" s="11" t="s">
        <v>9</v>
      </c>
      <c r="D166" s="11">
        <v>16</v>
      </c>
      <c r="E166" s="19">
        <v>13.65</v>
      </c>
      <c r="F166" s="11" t="s">
        <v>13</v>
      </c>
      <c r="G166" s="11" t="s">
        <v>15</v>
      </c>
      <c r="H166" s="12">
        <v>46630</v>
      </c>
      <c r="I166" s="11">
        <v>1920</v>
      </c>
      <c r="J166" s="13">
        <v>2240</v>
      </c>
      <c r="K166" t="str">
        <f t="shared" si="2"/>
        <v>DE160-SDR11</v>
      </c>
      <c r="L166" s="1">
        <f>VLOOKUP(K166,'[1]Tarif - Evolution Marché'!$F:$H,3,0)</f>
        <v>13.646766460905351</v>
      </c>
    </row>
    <row r="167" spans="1:12" x14ac:dyDescent="0.3">
      <c r="A167" s="14" t="s">
        <v>23</v>
      </c>
      <c r="B167" s="15">
        <v>180</v>
      </c>
      <c r="C167" s="15" t="s">
        <v>9</v>
      </c>
      <c r="D167" s="15">
        <v>16</v>
      </c>
      <c r="E167" s="16">
        <v>17.23</v>
      </c>
      <c r="F167" s="15" t="s">
        <v>13</v>
      </c>
      <c r="G167" s="15" t="s">
        <v>15</v>
      </c>
      <c r="H167" s="17">
        <v>46630</v>
      </c>
      <c r="I167" s="15">
        <v>1200</v>
      </c>
      <c r="J167" s="18">
        <v>1400</v>
      </c>
      <c r="K167" t="str">
        <f t="shared" si="2"/>
        <v>DE180-SDR11</v>
      </c>
      <c r="L167" s="1">
        <f>VLOOKUP(K167,'[1]Tarif - Evolution Marché'!$F:$H,3,0)</f>
        <v>17.23056121399177</v>
      </c>
    </row>
    <row r="168" spans="1:12" x14ac:dyDescent="0.3">
      <c r="A168" s="8" t="s">
        <v>23</v>
      </c>
      <c r="B168" s="11">
        <v>200</v>
      </c>
      <c r="C168" s="11" t="s">
        <v>9</v>
      </c>
      <c r="D168" s="11">
        <v>16</v>
      </c>
      <c r="E168" s="19">
        <v>21.26</v>
      </c>
      <c r="F168" s="11" t="s">
        <v>13</v>
      </c>
      <c r="G168" s="11" t="s">
        <v>15</v>
      </c>
      <c r="H168" s="12">
        <v>46630</v>
      </c>
      <c r="I168" s="11">
        <v>960</v>
      </c>
      <c r="J168" s="13">
        <v>1120</v>
      </c>
      <c r="K168" t="str">
        <f t="shared" si="2"/>
        <v>DE200-SDR11</v>
      </c>
      <c r="L168" s="1">
        <f>VLOOKUP(K168,'[1]Tarif - Evolution Marché'!$F:$H,3,0)</f>
        <v>21.25979938271605</v>
      </c>
    </row>
    <row r="169" spans="1:12" x14ac:dyDescent="0.3">
      <c r="A169" s="14" t="s">
        <v>23</v>
      </c>
      <c r="B169" s="15">
        <v>225</v>
      </c>
      <c r="C169" s="15" t="s">
        <v>9</v>
      </c>
      <c r="D169" s="15">
        <v>16</v>
      </c>
      <c r="E169" s="16">
        <v>26.93</v>
      </c>
      <c r="F169" s="15" t="s">
        <v>13</v>
      </c>
      <c r="G169" s="15" t="s">
        <v>15</v>
      </c>
      <c r="H169" s="17">
        <v>46630</v>
      </c>
      <c r="I169" s="15">
        <v>960</v>
      </c>
      <c r="J169" s="18">
        <v>1120</v>
      </c>
      <c r="K169" t="str">
        <f t="shared" si="2"/>
        <v>DE225-SDR11</v>
      </c>
      <c r="L169" s="1">
        <f>VLOOKUP(K169,'[1]Tarif - Evolution Marché'!$F:$H,3,0)</f>
        <v>26.929079218106999</v>
      </c>
    </row>
    <row r="170" spans="1:12" x14ac:dyDescent="0.3">
      <c r="A170" s="8" t="s">
        <v>23</v>
      </c>
      <c r="B170" s="11">
        <v>250</v>
      </c>
      <c r="C170" s="11" t="s">
        <v>9</v>
      </c>
      <c r="D170" s="11">
        <v>16</v>
      </c>
      <c r="E170" s="19">
        <v>33</v>
      </c>
      <c r="F170" s="11" t="s">
        <v>13</v>
      </c>
      <c r="G170" s="11" t="s">
        <v>15</v>
      </c>
      <c r="H170" s="12">
        <v>46630</v>
      </c>
      <c r="I170" s="11">
        <v>672</v>
      </c>
      <c r="J170" s="13">
        <v>784</v>
      </c>
      <c r="K170" t="str">
        <f t="shared" si="2"/>
        <v>DE250-SDR11</v>
      </c>
      <c r="L170" s="1">
        <f>VLOOKUP(K170,'[1]Tarif - Evolution Marché'!$F:$H,3,0)</f>
        <v>33.003307613168722</v>
      </c>
    </row>
    <row r="171" spans="1:12" x14ac:dyDescent="0.3">
      <c r="A171" s="14" t="s">
        <v>23</v>
      </c>
      <c r="B171" s="15">
        <v>280</v>
      </c>
      <c r="C171" s="15" t="s">
        <v>9</v>
      </c>
      <c r="D171" s="15">
        <v>16</v>
      </c>
      <c r="E171" s="16">
        <v>41.51</v>
      </c>
      <c r="F171" s="15" t="s">
        <v>13</v>
      </c>
      <c r="G171" s="15" t="s">
        <v>15</v>
      </c>
      <c r="H171" s="17">
        <v>46630</v>
      </c>
      <c r="I171" s="15">
        <v>672</v>
      </c>
      <c r="J171" s="18">
        <v>784</v>
      </c>
      <c r="K171" t="str">
        <f t="shared" si="2"/>
        <v>DE280-SDR11</v>
      </c>
      <c r="L171" s="1">
        <f>VLOOKUP(K171,'[1]Tarif - Evolution Marché'!$F:$H,3,0)</f>
        <v>41.507227366255144</v>
      </c>
    </row>
    <row r="172" spans="1:12" x14ac:dyDescent="0.3">
      <c r="A172" s="8" t="s">
        <v>23</v>
      </c>
      <c r="B172" s="11">
        <v>315</v>
      </c>
      <c r="C172" s="11" t="s">
        <v>9</v>
      </c>
      <c r="D172" s="11">
        <v>16</v>
      </c>
      <c r="E172" s="19">
        <v>52.44</v>
      </c>
      <c r="F172" s="11" t="s">
        <v>13</v>
      </c>
      <c r="G172" s="11" t="s">
        <v>15</v>
      </c>
      <c r="H172" s="12">
        <v>46630</v>
      </c>
      <c r="I172" s="11">
        <v>432</v>
      </c>
      <c r="J172" s="13">
        <v>504</v>
      </c>
      <c r="K172" t="str">
        <f t="shared" si="2"/>
        <v>DE315-SDR11</v>
      </c>
      <c r="L172" s="1">
        <f>VLOOKUP(K172,'[1]Tarif - Evolution Marché'!$F:$H,3,0)</f>
        <v>52.440838477366249</v>
      </c>
    </row>
    <row r="173" spans="1:12" x14ac:dyDescent="0.3">
      <c r="A173" s="14" t="s">
        <v>23</v>
      </c>
      <c r="B173" s="15">
        <v>355</v>
      </c>
      <c r="C173" s="15" t="s">
        <v>9</v>
      </c>
      <c r="D173" s="15">
        <v>16</v>
      </c>
      <c r="E173" s="16">
        <v>66.61</v>
      </c>
      <c r="F173" s="15" t="s">
        <v>13</v>
      </c>
      <c r="G173" s="15" t="s">
        <v>15</v>
      </c>
      <c r="H173" s="17">
        <v>46630</v>
      </c>
      <c r="I173" s="15">
        <v>360</v>
      </c>
      <c r="J173" s="18">
        <v>420</v>
      </c>
      <c r="K173" t="str">
        <f t="shared" si="2"/>
        <v>DE355-SDR11</v>
      </c>
      <c r="L173" s="1">
        <f>VLOOKUP(K173,'[1]Tarif - Evolution Marché'!$F:$H,3,0)</f>
        <v>66.614038065843616</v>
      </c>
    </row>
    <row r="174" spans="1:12" x14ac:dyDescent="0.3">
      <c r="A174" s="8" t="s">
        <v>23</v>
      </c>
      <c r="B174" s="11">
        <v>400</v>
      </c>
      <c r="C174" s="11" t="s">
        <v>9</v>
      </c>
      <c r="D174" s="11">
        <v>16</v>
      </c>
      <c r="E174" s="19">
        <v>84.43</v>
      </c>
      <c r="F174" s="11" t="s">
        <v>13</v>
      </c>
      <c r="G174" s="11" t="s">
        <v>15</v>
      </c>
      <c r="H174" s="12">
        <v>46630</v>
      </c>
      <c r="I174" s="11">
        <v>360</v>
      </c>
      <c r="J174" s="13">
        <v>420</v>
      </c>
      <c r="K174" t="str">
        <f t="shared" si="2"/>
        <v>DE400-SDR11</v>
      </c>
      <c r="L174" s="1">
        <f>VLOOKUP(K174,'[1]Tarif - Evolution Marché'!$F:$H,3,0)</f>
        <v>84.431774691358029</v>
      </c>
    </row>
    <row r="175" spans="1:12" x14ac:dyDescent="0.3">
      <c r="A175" s="14" t="s">
        <v>23</v>
      </c>
      <c r="B175" s="15">
        <v>450</v>
      </c>
      <c r="C175" s="15" t="s">
        <v>9</v>
      </c>
      <c r="D175" s="15">
        <v>16</v>
      </c>
      <c r="E175" s="16">
        <v>106.91</v>
      </c>
      <c r="F175" s="15" t="s">
        <v>13</v>
      </c>
      <c r="G175" s="15" t="s">
        <v>15</v>
      </c>
      <c r="H175" s="17">
        <v>46630</v>
      </c>
      <c r="I175" s="15">
        <v>192</v>
      </c>
      <c r="J175" s="18">
        <v>224</v>
      </c>
      <c r="K175" t="str">
        <f t="shared" si="2"/>
        <v>DE450-SDR11</v>
      </c>
      <c r="L175" s="1">
        <f>VLOOKUP(K175,'[1]Tarif - Evolution Marché'!$F:$H,3,0)</f>
        <v>106.90641975308641</v>
      </c>
    </row>
    <row r="176" spans="1:12" x14ac:dyDescent="0.3">
      <c r="A176" s="8" t="s">
        <v>23</v>
      </c>
      <c r="B176" s="11">
        <v>500</v>
      </c>
      <c r="C176" s="11" t="s">
        <v>9</v>
      </c>
      <c r="D176" s="11">
        <v>16</v>
      </c>
      <c r="E176" s="19">
        <v>132.01</v>
      </c>
      <c r="F176" s="11" t="s">
        <v>13</v>
      </c>
      <c r="G176" s="11" t="s">
        <v>15</v>
      </c>
      <c r="H176" s="12">
        <v>46630</v>
      </c>
      <c r="I176" s="11">
        <v>192</v>
      </c>
      <c r="J176" s="13">
        <v>224</v>
      </c>
      <c r="K176" t="str">
        <f t="shared" si="2"/>
        <v>DE500-SDR11</v>
      </c>
      <c r="L176" s="1">
        <f>VLOOKUP(K176,'[1]Tarif - Evolution Marché'!$F:$H,3,0)</f>
        <v>132.01323045267489</v>
      </c>
    </row>
    <row r="177" spans="1:12" x14ac:dyDescent="0.3">
      <c r="A177" s="14" t="s">
        <v>23</v>
      </c>
      <c r="B177" s="15">
        <v>560</v>
      </c>
      <c r="C177" s="15" t="s">
        <v>9</v>
      </c>
      <c r="D177" s="15">
        <v>16</v>
      </c>
      <c r="E177" s="16">
        <v>165.42</v>
      </c>
      <c r="F177" s="15" t="s">
        <v>13</v>
      </c>
      <c r="G177" s="15" t="s">
        <v>15</v>
      </c>
      <c r="H177" s="17">
        <v>46630</v>
      </c>
      <c r="I177" s="15">
        <v>192</v>
      </c>
      <c r="J177" s="18">
        <v>224</v>
      </c>
      <c r="K177" t="str">
        <f t="shared" si="2"/>
        <v>DE560-SDR11</v>
      </c>
      <c r="L177" s="1">
        <f>VLOOKUP(K177,'[1]Tarif - Evolution Marché'!$F:$H,3,0)</f>
        <v>165.4214866255144</v>
      </c>
    </row>
    <row r="178" spans="1:12" x14ac:dyDescent="0.3">
      <c r="A178" s="8" t="s">
        <v>23</v>
      </c>
      <c r="B178" s="11">
        <v>630</v>
      </c>
      <c r="C178" s="11" t="s">
        <v>9</v>
      </c>
      <c r="D178" s="11">
        <v>16</v>
      </c>
      <c r="E178" s="19">
        <v>208.55</v>
      </c>
      <c r="F178" s="11" t="s">
        <v>13</v>
      </c>
      <c r="G178" s="11" t="s">
        <v>15</v>
      </c>
      <c r="H178" s="12">
        <v>46630</v>
      </c>
      <c r="I178" s="11">
        <v>108</v>
      </c>
      <c r="J178" s="13">
        <v>126</v>
      </c>
      <c r="K178" t="str">
        <f t="shared" si="2"/>
        <v>DE630-SDR11</v>
      </c>
      <c r="L178" s="1">
        <f>VLOOKUP(K178,'[1]Tarif - Evolution Marché'!$F:$H,3,0)</f>
        <v>208.54850823045268</v>
      </c>
    </row>
    <row r="179" spans="1:12" x14ac:dyDescent="0.3">
      <c r="A179" s="14" t="s">
        <v>23</v>
      </c>
      <c r="B179" s="15">
        <v>710</v>
      </c>
      <c r="C179" s="15" t="s">
        <v>9</v>
      </c>
      <c r="D179" s="15">
        <v>16</v>
      </c>
      <c r="E179" s="16">
        <v>265.24</v>
      </c>
      <c r="F179" s="15" t="s">
        <v>13</v>
      </c>
      <c r="G179" s="15" t="s">
        <v>15</v>
      </c>
      <c r="H179" s="17">
        <v>46630</v>
      </c>
      <c r="I179" s="15">
        <v>108</v>
      </c>
      <c r="J179" s="18">
        <v>126</v>
      </c>
      <c r="K179" t="str">
        <f t="shared" si="2"/>
        <v>DE710-SDR11</v>
      </c>
      <c r="L179" s="1">
        <f>VLOOKUP(K179,'[1]Tarif - Evolution Marché'!$F:$H,3,0)</f>
        <v>265.24130658436212</v>
      </c>
    </row>
    <row r="180" spans="1:12" x14ac:dyDescent="0.3">
      <c r="A180" s="8" t="s">
        <v>23</v>
      </c>
      <c r="B180" s="11">
        <v>16</v>
      </c>
      <c r="C180" s="11" t="s">
        <v>10</v>
      </c>
      <c r="D180" s="11">
        <v>20</v>
      </c>
      <c r="E180" s="19">
        <v>0.19</v>
      </c>
      <c r="F180" s="11" t="s">
        <v>13</v>
      </c>
      <c r="G180" s="11" t="s">
        <v>15</v>
      </c>
      <c r="H180" s="12">
        <v>46630</v>
      </c>
      <c r="I180" s="12"/>
      <c r="J180" s="13"/>
      <c r="K180" t="str">
        <f t="shared" si="2"/>
        <v>DE16-SDR9</v>
      </c>
      <c r="L180" s="1">
        <f>VLOOKUP(K180,'[1]Tarif - Evolution Marché'!$F:$H,3,0)</f>
        <v>0.18627633744855968</v>
      </c>
    </row>
    <row r="181" spans="1:12" x14ac:dyDescent="0.3">
      <c r="A181" s="14" t="s">
        <v>23</v>
      </c>
      <c r="B181" s="15">
        <v>20</v>
      </c>
      <c r="C181" s="15" t="s">
        <v>10</v>
      </c>
      <c r="D181" s="15">
        <v>20</v>
      </c>
      <c r="E181" s="16">
        <v>0.27</v>
      </c>
      <c r="F181" s="15" t="s">
        <v>13</v>
      </c>
      <c r="G181" s="15" t="s">
        <v>15</v>
      </c>
      <c r="H181" s="17">
        <v>46630</v>
      </c>
      <c r="I181" s="17"/>
      <c r="J181" s="18"/>
      <c r="K181" t="str">
        <f t="shared" si="2"/>
        <v>DE20-SDR9</v>
      </c>
      <c r="L181" s="1">
        <f>VLOOKUP(K181,'[1]Tarif - Evolution Marché'!$F:$H,3,0)</f>
        <v>0.2713155349794239</v>
      </c>
    </row>
    <row r="182" spans="1:12" x14ac:dyDescent="0.3">
      <c r="A182" s="8" t="s">
        <v>23</v>
      </c>
      <c r="B182" s="11">
        <v>25</v>
      </c>
      <c r="C182" s="11" t="s">
        <v>10</v>
      </c>
      <c r="D182" s="11">
        <v>20</v>
      </c>
      <c r="E182" s="19">
        <v>0.41</v>
      </c>
      <c r="F182" s="11" t="s">
        <v>13</v>
      </c>
      <c r="G182" s="11" t="s">
        <v>15</v>
      </c>
      <c r="H182" s="12">
        <v>46630</v>
      </c>
      <c r="I182" s="12"/>
      <c r="J182" s="13"/>
      <c r="K182" t="str">
        <f t="shared" si="2"/>
        <v>DE25-SDR9</v>
      </c>
      <c r="L182" s="1">
        <f>VLOOKUP(K182,'[1]Tarif - Evolution Marché'!$F:$H,3,0)</f>
        <v>0.40899804526748973</v>
      </c>
    </row>
    <row r="183" spans="1:12" x14ac:dyDescent="0.3">
      <c r="A183" s="14" t="s">
        <v>23</v>
      </c>
      <c r="B183" s="15">
        <v>32</v>
      </c>
      <c r="C183" s="15" t="s">
        <v>10</v>
      </c>
      <c r="D183" s="15">
        <v>20</v>
      </c>
      <c r="E183" s="16">
        <v>0.67</v>
      </c>
      <c r="F183" s="15" t="s">
        <v>13</v>
      </c>
      <c r="G183" s="15" t="s">
        <v>15</v>
      </c>
      <c r="H183" s="17">
        <v>46630</v>
      </c>
      <c r="I183" s="17"/>
      <c r="J183" s="18"/>
      <c r="K183" t="str">
        <f t="shared" si="2"/>
        <v>DE32-SDR9</v>
      </c>
      <c r="L183" s="1">
        <f>VLOOKUP(K183,'[1]Tarif - Evolution Marché'!$F:$H,3,0)</f>
        <v>0.6701898662551441</v>
      </c>
    </row>
    <row r="184" spans="1:12" x14ac:dyDescent="0.3">
      <c r="A184" s="8" t="s">
        <v>23</v>
      </c>
      <c r="B184" s="11">
        <v>40</v>
      </c>
      <c r="C184" s="11" t="s">
        <v>10</v>
      </c>
      <c r="D184" s="11">
        <v>20</v>
      </c>
      <c r="E184" s="19">
        <v>1.04</v>
      </c>
      <c r="F184" s="11" t="s">
        <v>13</v>
      </c>
      <c r="G184" s="11" t="s">
        <v>15</v>
      </c>
      <c r="H184" s="12">
        <v>46630</v>
      </c>
      <c r="I184" s="12"/>
      <c r="J184" s="13"/>
      <c r="K184" t="str">
        <f t="shared" si="2"/>
        <v>DE40-SDR9</v>
      </c>
      <c r="L184" s="1">
        <f>VLOOKUP(K184,'[1]Tarif - Evolution Marché'!$F:$H,3,0)</f>
        <v>1.0407177983539095</v>
      </c>
    </row>
    <row r="185" spans="1:12" x14ac:dyDescent="0.3">
      <c r="A185" s="14" t="s">
        <v>23</v>
      </c>
      <c r="B185" s="15">
        <v>50</v>
      </c>
      <c r="C185" s="15" t="s">
        <v>10</v>
      </c>
      <c r="D185" s="15">
        <v>20</v>
      </c>
      <c r="E185" s="16">
        <v>1.61</v>
      </c>
      <c r="F185" s="15" t="s">
        <v>13</v>
      </c>
      <c r="G185" s="15" t="s">
        <v>15</v>
      </c>
      <c r="H185" s="17">
        <v>46630</v>
      </c>
      <c r="I185" s="17"/>
      <c r="J185" s="18"/>
      <c r="K185" t="str">
        <f t="shared" si="2"/>
        <v>DE50-SDR9</v>
      </c>
      <c r="L185" s="1">
        <f>VLOOKUP(K185,'[1]Tarif - Evolution Marché'!$F:$H,3,0)</f>
        <v>1.611695267489712</v>
      </c>
    </row>
    <row r="186" spans="1:12" x14ac:dyDescent="0.3">
      <c r="A186" s="8" t="s">
        <v>23</v>
      </c>
      <c r="B186" s="11">
        <v>63</v>
      </c>
      <c r="C186" s="11" t="s">
        <v>10</v>
      </c>
      <c r="D186" s="11">
        <v>20</v>
      </c>
      <c r="E186" s="19">
        <v>2.57</v>
      </c>
      <c r="F186" s="11" t="s">
        <v>13</v>
      </c>
      <c r="G186" s="11" t="s">
        <v>15</v>
      </c>
      <c r="H186" s="12">
        <v>46630</v>
      </c>
      <c r="I186" s="12"/>
      <c r="J186" s="13"/>
      <c r="K186" t="str">
        <f t="shared" si="2"/>
        <v>DE63-SDR9</v>
      </c>
      <c r="L186" s="1">
        <f>VLOOKUP(K186,'[1]Tarif - Evolution Marché'!$F:$H,3,0)</f>
        <v>2.5714233539094651</v>
      </c>
    </row>
    <row r="187" spans="1:12" x14ac:dyDescent="0.3">
      <c r="A187" s="14" t="s">
        <v>23</v>
      </c>
      <c r="B187" s="15">
        <v>75</v>
      </c>
      <c r="C187" s="15" t="s">
        <v>10</v>
      </c>
      <c r="D187" s="15">
        <v>20</v>
      </c>
      <c r="E187" s="16">
        <v>3.6</v>
      </c>
      <c r="F187" s="15" t="s">
        <v>13</v>
      </c>
      <c r="G187" s="15" t="s">
        <v>15</v>
      </c>
      <c r="H187" s="17">
        <v>46630</v>
      </c>
      <c r="I187" s="17"/>
      <c r="J187" s="18"/>
      <c r="K187" t="str">
        <f t="shared" si="2"/>
        <v>DE75-SDR9</v>
      </c>
      <c r="L187" s="1">
        <f>VLOOKUP(K187,'[1]Tarif - Evolution Marché'!$F:$H,3,0)</f>
        <v>3.6040421810699588</v>
      </c>
    </row>
    <row r="188" spans="1:12" x14ac:dyDescent="0.3">
      <c r="A188" s="8" t="s">
        <v>23</v>
      </c>
      <c r="B188" s="11">
        <v>90</v>
      </c>
      <c r="C188" s="11" t="s">
        <v>10</v>
      </c>
      <c r="D188" s="11">
        <v>20</v>
      </c>
      <c r="E188" s="19">
        <v>5.2</v>
      </c>
      <c r="F188" s="11" t="s">
        <v>13</v>
      </c>
      <c r="G188" s="11" t="s">
        <v>15</v>
      </c>
      <c r="H188" s="12">
        <v>46630</v>
      </c>
      <c r="I188" s="12"/>
      <c r="J188" s="13"/>
      <c r="K188" t="str">
        <f t="shared" si="2"/>
        <v>DE90-SDR9</v>
      </c>
      <c r="L188" s="1">
        <f>VLOOKUP(K188,'[1]Tarif - Evolution Marché'!$F:$H,3,0)</f>
        <v>5.2035889917695473</v>
      </c>
    </row>
    <row r="189" spans="1:12" x14ac:dyDescent="0.3">
      <c r="A189" s="14" t="s">
        <v>23</v>
      </c>
      <c r="B189" s="15">
        <v>110</v>
      </c>
      <c r="C189" s="15" t="s">
        <v>10</v>
      </c>
      <c r="D189" s="15">
        <v>20</v>
      </c>
      <c r="E189" s="16">
        <v>7.73</v>
      </c>
      <c r="F189" s="15" t="s">
        <v>13</v>
      </c>
      <c r="G189" s="15" t="s">
        <v>15</v>
      </c>
      <c r="H189" s="17">
        <v>46630</v>
      </c>
      <c r="I189" s="17"/>
      <c r="J189" s="18"/>
      <c r="K189" t="str">
        <f t="shared" si="2"/>
        <v>DE110-SDR9</v>
      </c>
      <c r="L189" s="1">
        <f>VLOOKUP(K189,'[1]Tarif - Evolution Marché'!$F:$H,3,0)</f>
        <v>7.7345174897119335</v>
      </c>
    </row>
    <row r="190" spans="1:12" x14ac:dyDescent="0.3">
      <c r="A190" s="8" t="s">
        <v>23</v>
      </c>
      <c r="B190" s="11">
        <v>125</v>
      </c>
      <c r="C190" s="11" t="s">
        <v>10</v>
      </c>
      <c r="D190" s="11">
        <v>20</v>
      </c>
      <c r="E190" s="19">
        <v>9.9600000000000009</v>
      </c>
      <c r="F190" s="11" t="s">
        <v>13</v>
      </c>
      <c r="G190" s="11" t="s">
        <v>15</v>
      </c>
      <c r="H190" s="12">
        <v>46630</v>
      </c>
      <c r="I190" s="11">
        <v>2400</v>
      </c>
      <c r="J190" s="13">
        <v>2800</v>
      </c>
      <c r="K190" t="str">
        <f t="shared" si="2"/>
        <v>DE125-SDR9</v>
      </c>
      <c r="L190" s="1">
        <f>VLOOKUP(K190,'[1]Tarif - Evolution Marché'!$F:$H,3,0)</f>
        <v>9.9617345679012352</v>
      </c>
    </row>
    <row r="191" spans="1:12" x14ac:dyDescent="0.3">
      <c r="A191" s="14" t="s">
        <v>23</v>
      </c>
      <c r="B191" s="15">
        <v>140</v>
      </c>
      <c r="C191" s="15" t="s">
        <v>10</v>
      </c>
      <c r="D191" s="15">
        <v>20</v>
      </c>
      <c r="E191" s="16">
        <v>12.51</v>
      </c>
      <c r="F191" s="15" t="s">
        <v>13</v>
      </c>
      <c r="G191" s="15" t="s">
        <v>15</v>
      </c>
      <c r="H191" s="17">
        <v>46630</v>
      </c>
      <c r="I191" s="15">
        <v>1920</v>
      </c>
      <c r="J191" s="18">
        <v>2240</v>
      </c>
      <c r="K191" t="str">
        <f t="shared" si="2"/>
        <v>DE140-SDR9</v>
      </c>
      <c r="L191" s="1">
        <f>VLOOKUP(K191,'[1]Tarif - Evolution Marché'!$F:$H,3,0)</f>
        <v>12.51291049382716</v>
      </c>
    </row>
    <row r="192" spans="1:12" x14ac:dyDescent="0.3">
      <c r="A192" s="8" t="s">
        <v>23</v>
      </c>
      <c r="B192" s="11">
        <v>160</v>
      </c>
      <c r="C192" s="11" t="s">
        <v>10</v>
      </c>
      <c r="D192" s="11">
        <v>20</v>
      </c>
      <c r="E192" s="19">
        <v>16.28</v>
      </c>
      <c r="F192" s="11" t="s">
        <v>13</v>
      </c>
      <c r="G192" s="11" t="s">
        <v>15</v>
      </c>
      <c r="H192" s="12">
        <v>46630</v>
      </c>
      <c r="I192" s="11">
        <v>1920</v>
      </c>
      <c r="J192" s="13">
        <v>2240</v>
      </c>
      <c r="K192" t="str">
        <f t="shared" si="2"/>
        <v>DE160-SDR9</v>
      </c>
      <c r="L192" s="1">
        <f>VLOOKUP(K192,'[1]Tarif - Evolution Marché'!$F:$H,3,0)</f>
        <v>16.278932098765431</v>
      </c>
    </row>
    <row r="193" spans="1:12" x14ac:dyDescent="0.3">
      <c r="A193" s="14" t="s">
        <v>23</v>
      </c>
      <c r="B193" s="15">
        <v>180</v>
      </c>
      <c r="C193" s="15" t="s">
        <v>10</v>
      </c>
      <c r="D193" s="15">
        <v>20</v>
      </c>
      <c r="E193" s="16">
        <v>20.65</v>
      </c>
      <c r="F193" s="15" t="s">
        <v>13</v>
      </c>
      <c r="G193" s="15" t="s">
        <v>15</v>
      </c>
      <c r="H193" s="17">
        <v>46630</v>
      </c>
      <c r="I193" s="15">
        <v>1200</v>
      </c>
      <c r="J193" s="18">
        <v>1400</v>
      </c>
      <c r="K193" t="str">
        <f t="shared" si="2"/>
        <v>DE180-SDR9</v>
      </c>
      <c r="L193" s="1">
        <f>VLOOKUP(K193,'[1]Tarif - Evolution Marché'!$F:$H,3,0)</f>
        <v>20.652376543209876</v>
      </c>
    </row>
    <row r="194" spans="1:12" x14ac:dyDescent="0.3">
      <c r="A194" s="8" t="s">
        <v>23</v>
      </c>
      <c r="B194" s="11">
        <v>200</v>
      </c>
      <c r="C194" s="11" t="s">
        <v>10</v>
      </c>
      <c r="D194" s="11">
        <v>20</v>
      </c>
      <c r="E194" s="19">
        <v>25.51</v>
      </c>
      <c r="F194" s="11" t="s">
        <v>13</v>
      </c>
      <c r="G194" s="11" t="s">
        <v>15</v>
      </c>
      <c r="H194" s="12">
        <v>46630</v>
      </c>
      <c r="I194" s="11">
        <v>960</v>
      </c>
      <c r="J194" s="13">
        <v>1120</v>
      </c>
      <c r="K194" t="str">
        <f t="shared" si="2"/>
        <v>DE200-SDR9</v>
      </c>
      <c r="L194" s="1">
        <f>VLOOKUP(K194,'[1]Tarif - Evolution Marché'!$F:$H,3,0)</f>
        <v>25.511759259259257</v>
      </c>
    </row>
    <row r="195" spans="1:12" x14ac:dyDescent="0.3">
      <c r="A195" s="14" t="s">
        <v>23</v>
      </c>
      <c r="B195" s="15">
        <v>225</v>
      </c>
      <c r="C195" s="15" t="s">
        <v>10</v>
      </c>
      <c r="D195" s="15">
        <v>20</v>
      </c>
      <c r="E195" s="16">
        <v>32.19</v>
      </c>
      <c r="F195" s="15" t="s">
        <v>13</v>
      </c>
      <c r="G195" s="15" t="s">
        <v>15</v>
      </c>
      <c r="H195" s="17">
        <v>46630</v>
      </c>
      <c r="I195" s="15">
        <v>960</v>
      </c>
      <c r="J195" s="18">
        <v>1120</v>
      </c>
      <c r="K195" t="str">
        <f t="shared" ref="K195:K258" si="3">CONCATENATE("DE",B195,"-",C195)</f>
        <v>DE225-SDR9</v>
      </c>
      <c r="L195" s="1">
        <f>VLOOKUP(K195,'[1]Tarif - Evolution Marché'!$F:$H,3,0)</f>
        <v>32.193410493827159</v>
      </c>
    </row>
    <row r="196" spans="1:12" x14ac:dyDescent="0.3">
      <c r="A196" s="8" t="s">
        <v>23</v>
      </c>
      <c r="B196" s="11">
        <v>250</v>
      </c>
      <c r="C196" s="11" t="s">
        <v>10</v>
      </c>
      <c r="D196" s="11">
        <v>20</v>
      </c>
      <c r="E196" s="19">
        <v>39.68</v>
      </c>
      <c r="F196" s="11" t="s">
        <v>13</v>
      </c>
      <c r="G196" s="11" t="s">
        <v>15</v>
      </c>
      <c r="H196" s="12">
        <v>46630</v>
      </c>
      <c r="I196" s="11">
        <v>672</v>
      </c>
      <c r="J196" s="13">
        <v>784</v>
      </c>
      <c r="K196" t="str">
        <f t="shared" si="3"/>
        <v>DE250-SDR9</v>
      </c>
      <c r="L196" s="1">
        <f>VLOOKUP(K196,'[1]Tarif - Evolution Marché'!$F:$H,3,0)</f>
        <v>39.684958847736631</v>
      </c>
    </row>
    <row r="197" spans="1:12" x14ac:dyDescent="0.3">
      <c r="A197" s="14" t="s">
        <v>23</v>
      </c>
      <c r="B197" s="15">
        <v>280</v>
      </c>
      <c r="C197" s="15" t="s">
        <v>10</v>
      </c>
      <c r="D197" s="15">
        <v>20</v>
      </c>
      <c r="E197" s="16">
        <v>49.81</v>
      </c>
      <c r="F197" s="15" t="s">
        <v>13</v>
      </c>
      <c r="G197" s="15" t="s">
        <v>15</v>
      </c>
      <c r="H197" s="17">
        <v>46630</v>
      </c>
      <c r="I197" s="15">
        <v>672</v>
      </c>
      <c r="J197" s="18">
        <v>784</v>
      </c>
      <c r="K197" t="str">
        <f t="shared" si="3"/>
        <v>DE280-SDR9</v>
      </c>
      <c r="L197" s="1">
        <f>VLOOKUP(K197,'[1]Tarif - Evolution Marché'!$F:$H,3,0)</f>
        <v>49.808672839506173</v>
      </c>
    </row>
    <row r="198" spans="1:12" x14ac:dyDescent="0.3">
      <c r="A198" s="8" t="s">
        <v>23</v>
      </c>
      <c r="B198" s="11">
        <v>315</v>
      </c>
      <c r="C198" s="11" t="s">
        <v>10</v>
      </c>
      <c r="D198" s="11">
        <v>20</v>
      </c>
      <c r="E198" s="19">
        <v>62.97</v>
      </c>
      <c r="F198" s="11" t="s">
        <v>13</v>
      </c>
      <c r="G198" s="11" t="s">
        <v>15</v>
      </c>
      <c r="H198" s="12">
        <v>46630</v>
      </c>
      <c r="I198" s="11">
        <v>432</v>
      </c>
      <c r="J198" s="13">
        <v>504</v>
      </c>
      <c r="K198" t="str">
        <f t="shared" si="3"/>
        <v>DE315-SDR9</v>
      </c>
      <c r="L198" s="1">
        <f>VLOOKUP(K198,'[1]Tarif - Evolution Marché'!$F:$H,3,0)</f>
        <v>62.96950102880659</v>
      </c>
    </row>
    <row r="199" spans="1:12" x14ac:dyDescent="0.3">
      <c r="A199" s="14" t="s">
        <v>23</v>
      </c>
      <c r="B199" s="15">
        <v>355</v>
      </c>
      <c r="C199" s="15" t="s">
        <v>10</v>
      </c>
      <c r="D199" s="15">
        <v>20</v>
      </c>
      <c r="E199" s="16">
        <v>79.98</v>
      </c>
      <c r="F199" s="15" t="s">
        <v>13</v>
      </c>
      <c r="G199" s="15" t="s">
        <v>15</v>
      </c>
      <c r="H199" s="17">
        <v>46630</v>
      </c>
      <c r="I199" s="15">
        <v>360</v>
      </c>
      <c r="J199" s="18">
        <v>420</v>
      </c>
      <c r="K199" t="str">
        <f t="shared" si="3"/>
        <v>DE355-SDR9</v>
      </c>
      <c r="L199" s="1">
        <f>VLOOKUP(K199,'[1]Tarif - Evolution Marché'!$F:$H,3,0)</f>
        <v>79.977340534979419</v>
      </c>
    </row>
    <row r="200" spans="1:12" x14ac:dyDescent="0.3">
      <c r="A200" s="8" t="s">
        <v>23</v>
      </c>
      <c r="B200" s="11">
        <v>400</v>
      </c>
      <c r="C200" s="11" t="s">
        <v>10</v>
      </c>
      <c r="D200" s="11">
        <v>20</v>
      </c>
      <c r="E200" s="19">
        <v>101.44</v>
      </c>
      <c r="F200" s="11" t="s">
        <v>13</v>
      </c>
      <c r="G200" s="11" t="s">
        <v>15</v>
      </c>
      <c r="H200" s="12">
        <v>46630</v>
      </c>
      <c r="I200" s="11">
        <v>360</v>
      </c>
      <c r="J200" s="13">
        <v>420</v>
      </c>
      <c r="K200" t="str">
        <f t="shared" si="3"/>
        <v>DE400-SDR9</v>
      </c>
      <c r="L200" s="1">
        <f>VLOOKUP(K200,'[1]Tarif - Evolution Marché'!$F:$H,3,0)</f>
        <v>101.43961419753087</v>
      </c>
    </row>
    <row r="201" spans="1:12" x14ac:dyDescent="0.3">
      <c r="A201" s="14" t="s">
        <v>23</v>
      </c>
      <c r="B201" s="15">
        <v>450</v>
      </c>
      <c r="C201" s="15" t="s">
        <v>10</v>
      </c>
      <c r="D201" s="15">
        <v>20</v>
      </c>
      <c r="E201" s="16">
        <v>128.37</v>
      </c>
      <c r="F201" s="15" t="s">
        <v>13</v>
      </c>
      <c r="G201" s="15" t="s">
        <v>15</v>
      </c>
      <c r="H201" s="17">
        <v>46630</v>
      </c>
      <c r="I201" s="15">
        <v>192</v>
      </c>
      <c r="J201" s="18">
        <v>224</v>
      </c>
      <c r="K201" t="str">
        <f t="shared" si="3"/>
        <v>DE450-SDR9</v>
      </c>
      <c r="L201" s="1">
        <f>VLOOKUP(K201,'[1]Tarif - Evolution Marché'!$F:$H,3,0)</f>
        <v>128.36869341563786</v>
      </c>
    </row>
    <row r="202" spans="1:12" x14ac:dyDescent="0.3">
      <c r="A202" s="8" t="s">
        <v>23</v>
      </c>
      <c r="B202" s="11">
        <v>500</v>
      </c>
      <c r="C202" s="11" t="s">
        <v>10</v>
      </c>
      <c r="D202" s="11">
        <v>20</v>
      </c>
      <c r="E202" s="19">
        <v>158.13</v>
      </c>
      <c r="F202" s="11" t="s">
        <v>13</v>
      </c>
      <c r="G202" s="11" t="s">
        <v>15</v>
      </c>
      <c r="H202" s="12">
        <v>46630</v>
      </c>
      <c r="I202" s="11">
        <v>192</v>
      </c>
      <c r="J202" s="13">
        <v>224</v>
      </c>
      <c r="K202" t="str">
        <f t="shared" si="3"/>
        <v>DE500-SDR9</v>
      </c>
      <c r="L202" s="1">
        <f>VLOOKUP(K202,'[1]Tarif - Evolution Marché'!$F:$H,3,0)</f>
        <v>158.13241255144032</v>
      </c>
    </row>
    <row r="203" spans="1:12" x14ac:dyDescent="0.3">
      <c r="A203" s="14" t="s">
        <v>23</v>
      </c>
      <c r="B203" s="15">
        <v>560</v>
      </c>
      <c r="C203" s="15" t="s">
        <v>10</v>
      </c>
      <c r="D203" s="15">
        <v>20</v>
      </c>
      <c r="E203" s="16">
        <v>198.42</v>
      </c>
      <c r="F203" s="15" t="s">
        <v>13</v>
      </c>
      <c r="G203" s="15" t="s">
        <v>15</v>
      </c>
      <c r="H203" s="17">
        <v>46630</v>
      </c>
      <c r="I203" s="15">
        <v>192</v>
      </c>
      <c r="J203" s="18">
        <v>224</v>
      </c>
      <c r="K203" t="str">
        <f t="shared" si="3"/>
        <v>DE560-SDR9</v>
      </c>
      <c r="L203" s="1">
        <f>VLOOKUP(K203,'[1]Tarif - Evolution Marché'!$F:$H,3,0)</f>
        <v>198.42479423868312</v>
      </c>
    </row>
    <row r="204" spans="1:12" x14ac:dyDescent="0.3">
      <c r="A204" s="8" t="s">
        <v>23</v>
      </c>
      <c r="B204" s="11">
        <v>16</v>
      </c>
      <c r="C204" s="11" t="s">
        <v>11</v>
      </c>
      <c r="D204" s="11">
        <v>25</v>
      </c>
      <c r="E204" s="19">
        <v>0.21</v>
      </c>
      <c r="F204" s="11" t="s">
        <v>13</v>
      </c>
      <c r="G204" s="11" t="s">
        <v>15</v>
      </c>
      <c r="H204" s="12">
        <v>46630</v>
      </c>
      <c r="I204" s="12"/>
      <c r="J204" s="13"/>
      <c r="K204" t="str">
        <f t="shared" si="3"/>
        <v>DE16-SDR7,4</v>
      </c>
      <c r="L204" s="1">
        <f>VLOOKUP(K204,'[1]Tarif - Evolution Marché'!$F:$H,3,0)</f>
        <v>0.20854850823045265</v>
      </c>
    </row>
    <row r="205" spans="1:12" x14ac:dyDescent="0.3">
      <c r="A205" s="14" t="s">
        <v>23</v>
      </c>
      <c r="B205" s="15">
        <v>20</v>
      </c>
      <c r="C205" s="15" t="s">
        <v>11</v>
      </c>
      <c r="D205" s="15">
        <v>25</v>
      </c>
      <c r="E205" s="16">
        <v>0.33</v>
      </c>
      <c r="F205" s="15" t="s">
        <v>13</v>
      </c>
      <c r="G205" s="15" t="s">
        <v>15</v>
      </c>
      <c r="H205" s="17">
        <v>46630</v>
      </c>
      <c r="I205" s="17"/>
      <c r="J205" s="18"/>
      <c r="K205" t="str">
        <f t="shared" si="3"/>
        <v>DE20-SDR7,4</v>
      </c>
      <c r="L205" s="1">
        <f>VLOOKUP(K205,'[1]Tarif - Evolution Marché'!$F:$H,3,0)</f>
        <v>0.33205781893004116</v>
      </c>
    </row>
    <row r="206" spans="1:12" x14ac:dyDescent="0.3">
      <c r="A206" s="8" t="s">
        <v>23</v>
      </c>
      <c r="B206" s="11">
        <v>25</v>
      </c>
      <c r="C206" s="11" t="s">
        <v>11</v>
      </c>
      <c r="D206" s="11">
        <v>25</v>
      </c>
      <c r="E206" s="19">
        <v>0.49</v>
      </c>
      <c r="F206" s="11" t="s">
        <v>13</v>
      </c>
      <c r="G206" s="11" t="s">
        <v>15</v>
      </c>
      <c r="H206" s="12">
        <v>46630</v>
      </c>
      <c r="I206" s="12"/>
      <c r="J206" s="13"/>
      <c r="K206" t="str">
        <f t="shared" si="3"/>
        <v>DE25-SDR7,4</v>
      </c>
      <c r="L206" s="1">
        <f>VLOOKUP(K206,'[1]Tarif - Evolution Marché'!$F:$H,3,0)</f>
        <v>0.49201249999999996</v>
      </c>
    </row>
    <row r="207" spans="1:12" x14ac:dyDescent="0.3">
      <c r="A207" s="14" t="s">
        <v>23</v>
      </c>
      <c r="B207" s="15">
        <v>32</v>
      </c>
      <c r="C207" s="15" t="s">
        <v>11</v>
      </c>
      <c r="D207" s="15">
        <v>25</v>
      </c>
      <c r="E207" s="16">
        <v>0.79</v>
      </c>
      <c r="F207" s="15" t="s">
        <v>13</v>
      </c>
      <c r="G207" s="15" t="s">
        <v>15</v>
      </c>
      <c r="H207" s="17">
        <v>46630</v>
      </c>
      <c r="I207" s="17"/>
      <c r="J207" s="18"/>
      <c r="K207" t="str">
        <f t="shared" si="3"/>
        <v>DE32-SDR7,4</v>
      </c>
      <c r="L207" s="1">
        <f>VLOOKUP(K207,'[1]Tarif - Evolution Marché'!$F:$H,3,0)</f>
        <v>0.78964969135802476</v>
      </c>
    </row>
    <row r="208" spans="1:12" x14ac:dyDescent="0.3">
      <c r="A208" s="8" t="s">
        <v>23</v>
      </c>
      <c r="B208" s="11">
        <v>40</v>
      </c>
      <c r="C208" s="11" t="s">
        <v>11</v>
      </c>
      <c r="D208" s="11">
        <v>25</v>
      </c>
      <c r="E208" s="19">
        <v>1.23</v>
      </c>
      <c r="F208" s="11" t="s">
        <v>13</v>
      </c>
      <c r="G208" s="11" t="s">
        <v>15</v>
      </c>
      <c r="H208" s="12">
        <v>46630</v>
      </c>
      <c r="I208" s="12"/>
      <c r="J208" s="13"/>
      <c r="K208" t="str">
        <f t="shared" si="3"/>
        <v>DE40-SDR7,4</v>
      </c>
      <c r="L208" s="1">
        <f>VLOOKUP(K208,'[1]Tarif - Evolution Marché'!$F:$H,3,0)</f>
        <v>1.2290188786008229</v>
      </c>
    </row>
    <row r="209" spans="1:12" x14ac:dyDescent="0.3">
      <c r="A209" s="14" t="s">
        <v>23</v>
      </c>
      <c r="B209" s="15">
        <v>50</v>
      </c>
      <c r="C209" s="15" t="s">
        <v>11</v>
      </c>
      <c r="D209" s="15">
        <v>25</v>
      </c>
      <c r="E209" s="16">
        <v>1.91</v>
      </c>
      <c r="F209" s="15" t="s">
        <v>13</v>
      </c>
      <c r="G209" s="15" t="s">
        <v>15</v>
      </c>
      <c r="H209" s="17">
        <v>46630</v>
      </c>
      <c r="I209" s="17"/>
      <c r="J209" s="18"/>
      <c r="K209" t="str">
        <f t="shared" si="3"/>
        <v>DE50-SDR7,4</v>
      </c>
      <c r="L209" s="1">
        <f>VLOOKUP(K209,'[1]Tarif - Evolution Marché'!$F:$H,3,0)</f>
        <v>1.9133819444444444</v>
      </c>
    </row>
    <row r="210" spans="1:12" x14ac:dyDescent="0.3">
      <c r="A210" s="8" t="s">
        <v>23</v>
      </c>
      <c r="B210" s="11">
        <v>63</v>
      </c>
      <c r="C210" s="11" t="s">
        <v>11</v>
      </c>
      <c r="D210" s="11">
        <v>25</v>
      </c>
      <c r="E210" s="19">
        <v>3.02</v>
      </c>
      <c r="F210" s="11" t="s">
        <v>13</v>
      </c>
      <c r="G210" s="11" t="s">
        <v>15</v>
      </c>
      <c r="H210" s="12">
        <v>46630</v>
      </c>
      <c r="I210" s="12"/>
      <c r="J210" s="13"/>
      <c r="K210" t="str">
        <f t="shared" si="3"/>
        <v>DE63-SDR7,4</v>
      </c>
      <c r="L210" s="1">
        <f>VLOOKUP(K210,'[1]Tarif - Evolution Marché'!$F:$H,3,0)</f>
        <v>3.0168667695473252</v>
      </c>
    </row>
    <row r="211" spans="1:12" x14ac:dyDescent="0.3">
      <c r="A211" s="14" t="s">
        <v>23</v>
      </c>
      <c r="B211" s="15">
        <v>75</v>
      </c>
      <c r="C211" s="15" t="s">
        <v>11</v>
      </c>
      <c r="D211" s="15">
        <v>25</v>
      </c>
      <c r="E211" s="16">
        <v>4.29</v>
      </c>
      <c r="F211" s="15" t="s">
        <v>13</v>
      </c>
      <c r="G211" s="15" t="s">
        <v>15</v>
      </c>
      <c r="H211" s="17">
        <v>46630</v>
      </c>
      <c r="I211" s="17"/>
      <c r="J211" s="18"/>
      <c r="K211" t="str">
        <f t="shared" si="3"/>
        <v>DE75-SDR7,4</v>
      </c>
      <c r="L211" s="1">
        <f>VLOOKUP(K211,'[1]Tarif - Evolution Marché'!$F:$H,3,0)</f>
        <v>4.2924547325102882</v>
      </c>
    </row>
    <row r="212" spans="1:12" x14ac:dyDescent="0.3">
      <c r="A212" s="8" t="s">
        <v>23</v>
      </c>
      <c r="B212" s="11">
        <v>90</v>
      </c>
      <c r="C212" s="11" t="s">
        <v>11</v>
      </c>
      <c r="D212" s="11">
        <v>25</v>
      </c>
      <c r="E212" s="19">
        <v>6.13</v>
      </c>
      <c r="F212" s="11" t="s">
        <v>13</v>
      </c>
      <c r="G212" s="11" t="s">
        <v>15</v>
      </c>
      <c r="H212" s="12">
        <v>46630</v>
      </c>
      <c r="I212" s="12"/>
      <c r="J212" s="13"/>
      <c r="K212" t="str">
        <f t="shared" si="3"/>
        <v>DE90-SDR7,4</v>
      </c>
      <c r="L212" s="1">
        <f>VLOOKUP(K212,'[1]Tarif - Evolution Marché'!$F:$H,3,0)</f>
        <v>6.1349706790123451</v>
      </c>
    </row>
    <row r="213" spans="1:12" x14ac:dyDescent="0.3">
      <c r="A213" s="14" t="s">
        <v>23</v>
      </c>
      <c r="B213" s="15">
        <v>110</v>
      </c>
      <c r="C213" s="15" t="s">
        <v>11</v>
      </c>
      <c r="D213" s="15">
        <v>25</v>
      </c>
      <c r="E213" s="16">
        <v>9.19</v>
      </c>
      <c r="F213" s="15" t="s">
        <v>13</v>
      </c>
      <c r="G213" s="15" t="s">
        <v>15</v>
      </c>
      <c r="H213" s="17">
        <v>46630</v>
      </c>
      <c r="I213" s="17"/>
      <c r="J213" s="18"/>
      <c r="K213" t="str">
        <f t="shared" si="3"/>
        <v>DE110-SDR7,4</v>
      </c>
      <c r="L213" s="1">
        <f>VLOOKUP(K213,'[1]Tarif - Evolution Marché'!$F:$H,3,0)</f>
        <v>9.1923323045267491</v>
      </c>
    </row>
    <row r="214" spans="1:12" x14ac:dyDescent="0.3">
      <c r="A214" s="8" t="s">
        <v>23</v>
      </c>
      <c r="B214" s="11">
        <v>125</v>
      </c>
      <c r="C214" s="11" t="s">
        <v>11</v>
      </c>
      <c r="D214" s="11">
        <v>25</v>
      </c>
      <c r="E214" s="19">
        <v>11.82</v>
      </c>
      <c r="F214" s="11" t="s">
        <v>13</v>
      </c>
      <c r="G214" s="11" t="s">
        <v>15</v>
      </c>
      <c r="H214" s="12">
        <v>46630</v>
      </c>
      <c r="I214" s="11">
        <v>2400</v>
      </c>
      <c r="J214" s="13">
        <v>2800</v>
      </c>
      <c r="K214" t="str">
        <f t="shared" si="3"/>
        <v>DE125-SDR7,4</v>
      </c>
      <c r="L214" s="1">
        <f>VLOOKUP(K214,'[1]Tarif - Evolution Marché'!$F:$H,3,0)</f>
        <v>11.824497942386831</v>
      </c>
    </row>
    <row r="215" spans="1:12" x14ac:dyDescent="0.3">
      <c r="A215" s="14" t="s">
        <v>23</v>
      </c>
      <c r="B215" s="15">
        <v>140</v>
      </c>
      <c r="C215" s="15" t="s">
        <v>11</v>
      </c>
      <c r="D215" s="15">
        <v>25</v>
      </c>
      <c r="E215" s="16">
        <v>14.84</v>
      </c>
      <c r="F215" s="15" t="s">
        <v>13</v>
      </c>
      <c r="G215" s="15" t="s">
        <v>15</v>
      </c>
      <c r="H215" s="17">
        <v>46630</v>
      </c>
      <c r="I215" s="15">
        <v>1920</v>
      </c>
      <c r="J215" s="18">
        <v>2240</v>
      </c>
      <c r="K215" t="str">
        <f t="shared" si="3"/>
        <v>DE140-SDR7,4</v>
      </c>
      <c r="L215" s="1">
        <f>VLOOKUP(K215,'[1]Tarif - Evolution Marché'!$F:$H,3,0)</f>
        <v>14.841364711934157</v>
      </c>
    </row>
    <row r="216" spans="1:12" x14ac:dyDescent="0.3">
      <c r="A216" s="8" t="s">
        <v>23</v>
      </c>
      <c r="B216" s="11">
        <v>160</v>
      </c>
      <c r="C216" s="11" t="s">
        <v>11</v>
      </c>
      <c r="D216" s="11">
        <v>25</v>
      </c>
      <c r="E216" s="19">
        <v>19.32</v>
      </c>
      <c r="F216" s="11" t="s">
        <v>13</v>
      </c>
      <c r="G216" s="11" t="s">
        <v>15</v>
      </c>
      <c r="H216" s="12">
        <v>46630</v>
      </c>
      <c r="I216" s="11">
        <v>1920</v>
      </c>
      <c r="J216" s="13">
        <v>2240</v>
      </c>
      <c r="K216" t="str">
        <f t="shared" si="3"/>
        <v>DE160-SDR7,4</v>
      </c>
      <c r="L216" s="1">
        <f>VLOOKUP(K216,'[1]Tarif - Evolution Marché'!$F:$H,3,0)</f>
        <v>19.316046296296296</v>
      </c>
    </row>
    <row r="217" spans="1:12" x14ac:dyDescent="0.3">
      <c r="A217" s="14" t="s">
        <v>23</v>
      </c>
      <c r="B217" s="15">
        <v>180</v>
      </c>
      <c r="C217" s="15" t="s">
        <v>11</v>
      </c>
      <c r="D217" s="15">
        <v>25</v>
      </c>
      <c r="E217" s="16">
        <v>24.5</v>
      </c>
      <c r="F217" s="15" t="s">
        <v>13</v>
      </c>
      <c r="G217" s="15" t="s">
        <v>15</v>
      </c>
      <c r="H217" s="17">
        <v>46630</v>
      </c>
      <c r="I217" s="15">
        <v>1200</v>
      </c>
      <c r="J217" s="18">
        <v>1400</v>
      </c>
      <c r="K217" t="str">
        <f t="shared" si="3"/>
        <v>DE180-SDR7,4</v>
      </c>
      <c r="L217" s="1">
        <f>VLOOKUP(K217,'[1]Tarif - Evolution Marché'!$F:$H,3,0)</f>
        <v>24.499387860082305</v>
      </c>
    </row>
    <row r="218" spans="1:12" x14ac:dyDescent="0.3">
      <c r="A218" s="8" t="s">
        <v>23</v>
      </c>
      <c r="B218" s="11">
        <v>200</v>
      </c>
      <c r="C218" s="11" t="s">
        <v>11</v>
      </c>
      <c r="D218" s="11">
        <v>25</v>
      </c>
      <c r="E218" s="19">
        <v>30.17</v>
      </c>
      <c r="F218" s="11" t="s">
        <v>13</v>
      </c>
      <c r="G218" s="11" t="s">
        <v>15</v>
      </c>
      <c r="H218" s="12">
        <v>46630</v>
      </c>
      <c r="I218" s="11">
        <v>960</v>
      </c>
      <c r="J218" s="13">
        <v>1120</v>
      </c>
      <c r="K218" t="str">
        <f t="shared" si="3"/>
        <v>DE200-SDR7,4</v>
      </c>
      <c r="L218" s="1">
        <f>VLOOKUP(K218,'[1]Tarif - Evolution Marché'!$F:$H,3,0)</f>
        <v>30.168667695473253</v>
      </c>
    </row>
    <row r="219" spans="1:12" x14ac:dyDescent="0.3">
      <c r="A219" s="14" t="s">
        <v>23</v>
      </c>
      <c r="B219" s="15">
        <v>225</v>
      </c>
      <c r="C219" s="15" t="s">
        <v>11</v>
      </c>
      <c r="D219" s="15">
        <v>25</v>
      </c>
      <c r="E219" s="16">
        <v>38.07</v>
      </c>
      <c r="F219" s="15" t="s">
        <v>13</v>
      </c>
      <c r="G219" s="15" t="s">
        <v>15</v>
      </c>
      <c r="H219" s="17">
        <v>46630</v>
      </c>
      <c r="I219" s="15">
        <v>960</v>
      </c>
      <c r="J219" s="18">
        <v>1120</v>
      </c>
      <c r="K219" t="str">
        <f t="shared" si="3"/>
        <v>DE225-SDR7,4</v>
      </c>
      <c r="L219" s="1">
        <f>VLOOKUP(K219,'[1]Tarif - Evolution Marché'!$F:$H,3,0)</f>
        <v>38.065164609053497</v>
      </c>
    </row>
    <row r="220" spans="1:12" x14ac:dyDescent="0.3">
      <c r="A220" s="8" t="s">
        <v>23</v>
      </c>
      <c r="B220" s="11">
        <v>250</v>
      </c>
      <c r="C220" s="11" t="s">
        <v>11</v>
      </c>
      <c r="D220" s="11">
        <v>25</v>
      </c>
      <c r="E220" s="19">
        <v>47.18</v>
      </c>
      <c r="F220" s="11" t="s">
        <v>13</v>
      </c>
      <c r="G220" s="11" t="s">
        <v>15</v>
      </c>
      <c r="H220" s="12">
        <v>46630</v>
      </c>
      <c r="I220" s="11">
        <v>672</v>
      </c>
      <c r="J220" s="13">
        <v>784</v>
      </c>
      <c r="K220" t="str">
        <f t="shared" si="3"/>
        <v>DE250-SDR7,4</v>
      </c>
      <c r="L220" s="1">
        <f>VLOOKUP(K220,'[1]Tarif - Evolution Marché'!$F:$H,3,0)</f>
        <v>47.176507201646089</v>
      </c>
    </row>
    <row r="221" spans="1:12" x14ac:dyDescent="0.3">
      <c r="A221" s="14" t="s">
        <v>23</v>
      </c>
      <c r="B221" s="15">
        <v>280</v>
      </c>
      <c r="C221" s="15" t="s">
        <v>11</v>
      </c>
      <c r="D221" s="15">
        <v>25</v>
      </c>
      <c r="E221" s="16">
        <v>59.12</v>
      </c>
      <c r="F221" s="15" t="s">
        <v>13</v>
      </c>
      <c r="G221" s="15" t="s">
        <v>15</v>
      </c>
      <c r="H221" s="17">
        <v>46630</v>
      </c>
      <c r="I221" s="15">
        <v>672</v>
      </c>
      <c r="J221" s="18">
        <v>784</v>
      </c>
      <c r="K221" t="str">
        <f t="shared" si="3"/>
        <v>DE280-SDR7,4</v>
      </c>
      <c r="L221" s="1">
        <f>VLOOKUP(K221,'[1]Tarif - Evolution Marché'!$F:$H,3,0)</f>
        <v>59.122489711934158</v>
      </c>
    </row>
    <row r="222" spans="1:12" x14ac:dyDescent="0.3">
      <c r="A222" s="8" t="s">
        <v>23</v>
      </c>
      <c r="B222" s="11">
        <v>315</v>
      </c>
      <c r="C222" s="11" t="s">
        <v>11</v>
      </c>
      <c r="D222" s="11">
        <v>25</v>
      </c>
      <c r="E222" s="19">
        <v>74.709999999999994</v>
      </c>
      <c r="F222" s="11" t="s">
        <v>13</v>
      </c>
      <c r="G222" s="11" t="s">
        <v>15</v>
      </c>
      <c r="H222" s="12">
        <v>46630</v>
      </c>
      <c r="I222" s="11">
        <v>432</v>
      </c>
      <c r="J222" s="13">
        <v>504</v>
      </c>
      <c r="K222" t="str">
        <f t="shared" si="3"/>
        <v>DE315-SDR7,4</v>
      </c>
      <c r="L222" s="1">
        <f>VLOOKUP(K222,'[1]Tarif - Evolution Marché'!$F:$H,3,0)</f>
        <v>74.713009259259252</v>
      </c>
    </row>
    <row r="223" spans="1:12" x14ac:dyDescent="0.3">
      <c r="A223" s="14" t="s">
        <v>23</v>
      </c>
      <c r="B223" s="15">
        <v>355</v>
      </c>
      <c r="C223" s="15" t="s">
        <v>11</v>
      </c>
      <c r="D223" s="15">
        <v>25</v>
      </c>
      <c r="E223" s="16">
        <v>94.76</v>
      </c>
      <c r="F223" s="15" t="s">
        <v>13</v>
      </c>
      <c r="G223" s="15" t="s">
        <v>15</v>
      </c>
      <c r="H223" s="17">
        <v>46630</v>
      </c>
      <c r="I223" s="15">
        <v>360</v>
      </c>
      <c r="J223" s="18">
        <v>420</v>
      </c>
      <c r="K223" t="str">
        <f t="shared" si="3"/>
        <v>DE355-SDR7,4</v>
      </c>
      <c r="L223" s="1">
        <f>VLOOKUP(K223,'[1]Tarif - Evolution Marché'!$F:$H,3,0)</f>
        <v>94.757962962962964</v>
      </c>
    </row>
    <row r="224" spans="1:12" x14ac:dyDescent="0.3">
      <c r="A224" s="8" t="s">
        <v>23</v>
      </c>
      <c r="B224" s="11">
        <v>400</v>
      </c>
      <c r="C224" s="11" t="s">
        <v>11</v>
      </c>
      <c r="D224" s="11">
        <v>25</v>
      </c>
      <c r="E224" s="19">
        <v>120.27</v>
      </c>
      <c r="F224" s="11" t="s">
        <v>13</v>
      </c>
      <c r="G224" s="11" t="s">
        <v>15</v>
      </c>
      <c r="H224" s="12">
        <v>46630</v>
      </c>
      <c r="I224" s="11">
        <v>360</v>
      </c>
      <c r="J224" s="13">
        <v>420</v>
      </c>
      <c r="K224" t="str">
        <f t="shared" si="3"/>
        <v>DE400-SDR7,4</v>
      </c>
      <c r="L224" s="1">
        <f>VLOOKUP(K224,'[1]Tarif - Evolution Marché'!$F:$H,3,0)</f>
        <v>120.26972222222221</v>
      </c>
    </row>
    <row r="225" spans="1:12" x14ac:dyDescent="0.3">
      <c r="A225" s="14" t="s">
        <v>23</v>
      </c>
      <c r="B225" s="15">
        <v>450</v>
      </c>
      <c r="C225" s="15" t="s">
        <v>11</v>
      </c>
      <c r="D225" s="15">
        <v>25</v>
      </c>
      <c r="E225" s="16">
        <v>152.26</v>
      </c>
      <c r="F225" s="15" t="s">
        <v>13</v>
      </c>
      <c r="G225" s="15" t="s">
        <v>15</v>
      </c>
      <c r="H225" s="17">
        <v>46630</v>
      </c>
      <c r="I225" s="15">
        <v>192</v>
      </c>
      <c r="J225" s="18">
        <v>224</v>
      </c>
      <c r="K225" t="str">
        <f t="shared" si="3"/>
        <v>DE450-SDR7,4</v>
      </c>
      <c r="L225" s="1">
        <f>VLOOKUP(K225,'[1]Tarif - Evolution Marché'!$F:$H,3,0)</f>
        <v>152.26065843621399</v>
      </c>
    </row>
    <row r="226" spans="1:12" x14ac:dyDescent="0.3">
      <c r="A226" s="8" t="s">
        <v>23</v>
      </c>
      <c r="B226" s="11">
        <v>500</v>
      </c>
      <c r="C226" s="11" t="s">
        <v>11</v>
      </c>
      <c r="D226" s="11">
        <v>25</v>
      </c>
      <c r="E226" s="19">
        <v>187.9</v>
      </c>
      <c r="F226" s="11" t="s">
        <v>13</v>
      </c>
      <c r="G226" s="11" t="s">
        <v>15</v>
      </c>
      <c r="H226" s="12">
        <v>46630</v>
      </c>
      <c r="I226" s="11">
        <v>192</v>
      </c>
      <c r="J226" s="13">
        <v>224</v>
      </c>
      <c r="K226" t="str">
        <f t="shared" si="3"/>
        <v>DE500-SDR7,4</v>
      </c>
      <c r="L226" s="1">
        <f>VLOOKUP(K226,'[1]Tarif - Evolution Marché'!$F:$H,3,0)</f>
        <v>187.89613168724279</v>
      </c>
    </row>
    <row r="227" spans="1:12" x14ac:dyDescent="0.3">
      <c r="A227" s="14" t="s">
        <v>23</v>
      </c>
      <c r="B227" s="15">
        <v>63</v>
      </c>
      <c r="C227" s="15" t="s">
        <v>3</v>
      </c>
      <c r="D227" s="15">
        <v>4</v>
      </c>
      <c r="E227" s="20">
        <v>0.8</v>
      </c>
      <c r="F227" s="15" t="s">
        <v>13</v>
      </c>
      <c r="G227" s="15" t="s">
        <v>16</v>
      </c>
      <c r="H227" s="17">
        <v>46630</v>
      </c>
      <c r="I227" s="17"/>
      <c r="J227" s="18"/>
      <c r="K227" t="str">
        <f t="shared" si="3"/>
        <v>DE63-SDR41</v>
      </c>
      <c r="L227" s="1">
        <f>VLOOKUP(K227,'[1]Tarif - Evolution Marché'!$F:$I,4,0)</f>
        <v>0.80471377777777764</v>
      </c>
    </row>
    <row r="228" spans="1:12" x14ac:dyDescent="0.3">
      <c r="A228" s="8" t="s">
        <v>23</v>
      </c>
      <c r="B228" s="11">
        <v>75</v>
      </c>
      <c r="C228" s="11" t="s">
        <v>3</v>
      </c>
      <c r="D228" s="11">
        <v>4</v>
      </c>
      <c r="E228" s="20">
        <v>1.01</v>
      </c>
      <c r="F228" s="11" t="s">
        <v>13</v>
      </c>
      <c r="G228" s="11" t="s">
        <v>16</v>
      </c>
      <c r="H228" s="12">
        <v>46630</v>
      </c>
      <c r="I228" s="12"/>
      <c r="J228" s="13"/>
      <c r="K228" t="str">
        <f t="shared" si="3"/>
        <v>DE75-SDR41</v>
      </c>
      <c r="L228" s="1">
        <f>VLOOKUP(K228,'[1]Tarif - Evolution Marché'!$F:$I,4,0)</f>
        <v>1.0102656666666665</v>
      </c>
    </row>
    <row r="229" spans="1:12" x14ac:dyDescent="0.3">
      <c r="A229" s="14" t="s">
        <v>23</v>
      </c>
      <c r="B229" s="15">
        <v>90</v>
      </c>
      <c r="C229" s="15" t="s">
        <v>3</v>
      </c>
      <c r="D229" s="15">
        <v>4</v>
      </c>
      <c r="E229" s="20">
        <v>1.41</v>
      </c>
      <c r="F229" s="15" t="s">
        <v>13</v>
      </c>
      <c r="G229" s="15" t="s">
        <v>16</v>
      </c>
      <c r="H229" s="17">
        <v>46630</v>
      </c>
      <c r="I229" s="17"/>
      <c r="J229" s="18"/>
      <c r="K229" t="str">
        <f t="shared" si="3"/>
        <v>DE90-SDR41</v>
      </c>
      <c r="L229" s="1">
        <f>VLOOKUP(K229,'[1]Tarif - Evolution Marché'!$F:$I,4,0)</f>
        <v>1.4148092777777777</v>
      </c>
    </row>
    <row r="230" spans="1:12" x14ac:dyDescent="0.3">
      <c r="A230" s="8" t="s">
        <v>23</v>
      </c>
      <c r="B230" s="11">
        <v>110</v>
      </c>
      <c r="C230" s="11" t="s">
        <v>3</v>
      </c>
      <c r="D230" s="11">
        <v>4</v>
      </c>
      <c r="E230" s="20">
        <v>2.08</v>
      </c>
      <c r="F230" s="11" t="s">
        <v>13</v>
      </c>
      <c r="G230" s="11" t="s">
        <v>16</v>
      </c>
      <c r="H230" s="12">
        <v>46630</v>
      </c>
      <c r="I230" s="12"/>
      <c r="J230" s="13"/>
      <c r="K230" t="str">
        <f t="shared" si="3"/>
        <v>DE110-SDR41</v>
      </c>
      <c r="L230" s="1">
        <f>VLOOKUP(K230,'[1]Tarif - Evolution Marché'!$F:$I,4,0)</f>
        <v>2.0817595555555553</v>
      </c>
    </row>
    <row r="231" spans="1:12" x14ac:dyDescent="0.3">
      <c r="A231" s="14" t="s">
        <v>23</v>
      </c>
      <c r="B231" s="15">
        <v>125</v>
      </c>
      <c r="C231" s="15" t="s">
        <v>3</v>
      </c>
      <c r="D231" s="15">
        <v>4</v>
      </c>
      <c r="E231" s="20">
        <v>2.73</v>
      </c>
      <c r="F231" s="15" t="s">
        <v>13</v>
      </c>
      <c r="G231" s="15" t="s">
        <v>16</v>
      </c>
      <c r="H231" s="17">
        <v>46630</v>
      </c>
      <c r="I231" s="15">
        <v>2400</v>
      </c>
      <c r="J231" s="18">
        <v>2800</v>
      </c>
      <c r="K231" t="str">
        <f t="shared" si="3"/>
        <v>DE125-SDR41</v>
      </c>
      <c r="L231" s="1">
        <f>VLOOKUP(K231,'[1]Tarif - Evolution Marché'!$F:$I,4,0)</f>
        <v>2.7334027777777776</v>
      </c>
    </row>
    <row r="232" spans="1:12" x14ac:dyDescent="0.3">
      <c r="A232" s="8" t="s">
        <v>23</v>
      </c>
      <c r="B232" s="11">
        <v>140</v>
      </c>
      <c r="C232" s="11" t="s">
        <v>3</v>
      </c>
      <c r="D232" s="11">
        <v>4</v>
      </c>
      <c r="E232" s="20">
        <v>3.41</v>
      </c>
      <c r="F232" s="11" t="s">
        <v>13</v>
      </c>
      <c r="G232" s="11" t="s">
        <v>16</v>
      </c>
      <c r="H232" s="12">
        <v>46630</v>
      </c>
      <c r="I232" s="11">
        <v>1920</v>
      </c>
      <c r="J232" s="13">
        <v>2240</v>
      </c>
      <c r="K232" t="str">
        <f t="shared" si="3"/>
        <v>DE140-SDR41</v>
      </c>
      <c r="L232" s="1">
        <f>VLOOKUP(K232,'[1]Tarif - Evolution Marché'!$F:$I,4,0)</f>
        <v>3.4112866666666664</v>
      </c>
    </row>
    <row r="233" spans="1:12" x14ac:dyDescent="0.3">
      <c r="A233" s="14" t="s">
        <v>23</v>
      </c>
      <c r="B233" s="15">
        <v>160</v>
      </c>
      <c r="C233" s="15" t="s">
        <v>3</v>
      </c>
      <c r="D233" s="15">
        <v>4</v>
      </c>
      <c r="E233" s="20">
        <v>4.42</v>
      </c>
      <c r="F233" s="15" t="s">
        <v>13</v>
      </c>
      <c r="G233" s="15" t="s">
        <v>16</v>
      </c>
      <c r="H233" s="17">
        <v>46630</v>
      </c>
      <c r="I233" s="15">
        <v>1920</v>
      </c>
      <c r="J233" s="18">
        <v>2240</v>
      </c>
      <c r="K233" t="str">
        <f t="shared" si="3"/>
        <v>DE160-SDR41</v>
      </c>
      <c r="L233" s="1">
        <f>VLOOKUP(K233,'[1]Tarif - Evolution Marché'!$F:$I,4,0)</f>
        <v>4.4171788888888885</v>
      </c>
    </row>
    <row r="234" spans="1:12" x14ac:dyDescent="0.3">
      <c r="A234" s="8" t="s">
        <v>23</v>
      </c>
      <c r="B234" s="11">
        <v>180</v>
      </c>
      <c r="C234" s="11" t="s">
        <v>3</v>
      </c>
      <c r="D234" s="11">
        <v>4</v>
      </c>
      <c r="E234" s="20">
        <v>5.49</v>
      </c>
      <c r="F234" s="11" t="s">
        <v>13</v>
      </c>
      <c r="G234" s="11" t="s">
        <v>16</v>
      </c>
      <c r="H234" s="12">
        <v>46630</v>
      </c>
      <c r="I234" s="11">
        <v>1200</v>
      </c>
      <c r="J234" s="13">
        <v>1400</v>
      </c>
      <c r="K234" t="str">
        <f t="shared" si="3"/>
        <v>DE180-SDR41</v>
      </c>
      <c r="L234" s="1">
        <f>VLOOKUP(K234,'[1]Tarif - Evolution Marché'!$F:$I,4,0)</f>
        <v>5.4886727777777766</v>
      </c>
    </row>
    <row r="235" spans="1:12" x14ac:dyDescent="0.3">
      <c r="A235" s="14" t="s">
        <v>23</v>
      </c>
      <c r="B235" s="15">
        <v>200</v>
      </c>
      <c r="C235" s="15" t="s">
        <v>3</v>
      </c>
      <c r="D235" s="15">
        <v>4</v>
      </c>
      <c r="E235" s="20">
        <v>6.74</v>
      </c>
      <c r="F235" s="15" t="s">
        <v>13</v>
      </c>
      <c r="G235" s="15" t="s">
        <v>16</v>
      </c>
      <c r="H235" s="17">
        <v>46630</v>
      </c>
      <c r="I235" s="15">
        <v>960</v>
      </c>
      <c r="J235" s="18">
        <v>1120</v>
      </c>
      <c r="K235" t="str">
        <f t="shared" si="3"/>
        <v>DE200-SDR41</v>
      </c>
      <c r="L235" s="1">
        <f>VLOOKUP(K235,'[1]Tarif - Evolution Marché'!$F:$I,4,0)</f>
        <v>6.7351044444444437</v>
      </c>
    </row>
    <row r="236" spans="1:12" x14ac:dyDescent="0.3">
      <c r="A236" s="8" t="s">
        <v>23</v>
      </c>
      <c r="B236" s="11">
        <v>225</v>
      </c>
      <c r="C236" s="11" t="s">
        <v>3</v>
      </c>
      <c r="D236" s="11">
        <v>4</v>
      </c>
      <c r="E236" s="20">
        <v>8.5299999999999994</v>
      </c>
      <c r="F236" s="11" t="s">
        <v>13</v>
      </c>
      <c r="G236" s="11" t="s">
        <v>16</v>
      </c>
      <c r="H236" s="12">
        <v>46630</v>
      </c>
      <c r="I236" s="11">
        <v>960</v>
      </c>
      <c r="J236" s="13">
        <v>1120</v>
      </c>
      <c r="K236" t="str">
        <f t="shared" si="3"/>
        <v>DE225-SDR41</v>
      </c>
      <c r="L236" s="1">
        <f>VLOOKUP(K236,'[1]Tarif - Evolution Marché'!$F:$I,4,0)</f>
        <v>8.5282166666666654</v>
      </c>
    </row>
    <row r="237" spans="1:12" x14ac:dyDescent="0.3">
      <c r="A237" s="14" t="s">
        <v>23</v>
      </c>
      <c r="B237" s="15">
        <v>250</v>
      </c>
      <c r="C237" s="15" t="s">
        <v>3</v>
      </c>
      <c r="D237" s="15">
        <v>4</v>
      </c>
      <c r="E237" s="20">
        <v>10.67</v>
      </c>
      <c r="F237" s="15" t="s">
        <v>13</v>
      </c>
      <c r="G237" s="15" t="s">
        <v>16</v>
      </c>
      <c r="H237" s="17">
        <v>46630</v>
      </c>
      <c r="I237" s="15">
        <v>672</v>
      </c>
      <c r="J237" s="18">
        <v>784</v>
      </c>
      <c r="K237" t="str">
        <f t="shared" si="3"/>
        <v>DE250-SDR41</v>
      </c>
      <c r="L237" s="1">
        <f>VLOOKUP(K237,'[1]Tarif - Evolution Marché'!$F:$I,4,0)</f>
        <v>10.671204444444443</v>
      </c>
    </row>
    <row r="238" spans="1:12" x14ac:dyDescent="0.3">
      <c r="A238" s="8" t="s">
        <v>23</v>
      </c>
      <c r="B238" s="11">
        <v>280</v>
      </c>
      <c r="C238" s="11" t="s">
        <v>3</v>
      </c>
      <c r="D238" s="11">
        <v>4</v>
      </c>
      <c r="E238" s="20">
        <v>13.21</v>
      </c>
      <c r="F238" s="11" t="s">
        <v>13</v>
      </c>
      <c r="G238" s="11" t="s">
        <v>16</v>
      </c>
      <c r="H238" s="12">
        <v>46630</v>
      </c>
      <c r="I238" s="11">
        <v>672</v>
      </c>
      <c r="J238" s="13">
        <v>784</v>
      </c>
      <c r="K238" t="str">
        <f t="shared" si="3"/>
        <v>DE280-SDR41</v>
      </c>
      <c r="L238" s="1">
        <f>VLOOKUP(K238,'[1]Tarif - Evolution Marché'!$F:$I,4,0)</f>
        <v>13.20780222222222</v>
      </c>
    </row>
    <row r="239" spans="1:12" x14ac:dyDescent="0.3">
      <c r="A239" s="14" t="s">
        <v>23</v>
      </c>
      <c r="B239" s="15">
        <v>315</v>
      </c>
      <c r="C239" s="15" t="s">
        <v>3</v>
      </c>
      <c r="D239" s="15">
        <v>4</v>
      </c>
      <c r="E239" s="20">
        <v>16.600000000000001</v>
      </c>
      <c r="F239" s="15" t="s">
        <v>13</v>
      </c>
      <c r="G239" s="15" t="s">
        <v>16</v>
      </c>
      <c r="H239" s="17">
        <v>46630</v>
      </c>
      <c r="I239" s="15">
        <v>432</v>
      </c>
      <c r="J239" s="18">
        <v>504</v>
      </c>
      <c r="K239" t="str">
        <f t="shared" si="3"/>
        <v>DE315-SDR41</v>
      </c>
      <c r="L239" s="1">
        <f>VLOOKUP(K239,'[1]Tarif - Evolution Marché'!$F:$I,4,0)</f>
        <v>16.597221666666666</v>
      </c>
    </row>
    <row r="240" spans="1:12" x14ac:dyDescent="0.3">
      <c r="A240" s="8" t="s">
        <v>23</v>
      </c>
      <c r="B240" s="11">
        <v>355</v>
      </c>
      <c r="C240" s="11" t="s">
        <v>3</v>
      </c>
      <c r="D240" s="11">
        <v>4</v>
      </c>
      <c r="E240" s="20">
        <v>21.1</v>
      </c>
      <c r="F240" s="11" t="s">
        <v>13</v>
      </c>
      <c r="G240" s="11" t="s">
        <v>16</v>
      </c>
      <c r="H240" s="12">
        <v>46630</v>
      </c>
      <c r="I240" s="11">
        <v>360</v>
      </c>
      <c r="J240" s="13">
        <v>420</v>
      </c>
      <c r="K240" t="str">
        <f t="shared" si="3"/>
        <v>DE355-SDR41</v>
      </c>
      <c r="L240" s="1">
        <f>VLOOKUP(K240,'[1]Tarif - Evolution Marché'!$F:$I,4,0)</f>
        <v>21.101869444444443</v>
      </c>
    </row>
    <row r="241" spans="1:12" x14ac:dyDescent="0.3">
      <c r="A241" s="14" t="s">
        <v>23</v>
      </c>
      <c r="B241" s="15">
        <v>400</v>
      </c>
      <c r="C241" s="15" t="s">
        <v>3</v>
      </c>
      <c r="D241" s="15">
        <v>4</v>
      </c>
      <c r="E241" s="20">
        <v>26.68</v>
      </c>
      <c r="F241" s="15" t="s">
        <v>13</v>
      </c>
      <c r="G241" s="15" t="s">
        <v>16</v>
      </c>
      <c r="H241" s="17">
        <v>46630</v>
      </c>
      <c r="I241" s="15">
        <v>360</v>
      </c>
      <c r="J241" s="18">
        <v>420</v>
      </c>
      <c r="K241" t="str">
        <f t="shared" si="3"/>
        <v>DE400-SDR41</v>
      </c>
      <c r="L241" s="1">
        <f>VLOOKUP(K241,'[1]Tarif - Evolution Marché'!$F:$I,4,0)</f>
        <v>26.678011111111108</v>
      </c>
    </row>
    <row r="242" spans="1:12" x14ac:dyDescent="0.3">
      <c r="A242" s="8" t="s">
        <v>23</v>
      </c>
      <c r="B242" s="11">
        <v>450</v>
      </c>
      <c r="C242" s="11" t="s">
        <v>3</v>
      </c>
      <c r="D242" s="11">
        <v>4</v>
      </c>
      <c r="E242" s="20">
        <v>33.68</v>
      </c>
      <c r="F242" s="11" t="s">
        <v>13</v>
      </c>
      <c r="G242" s="11" t="s">
        <v>16</v>
      </c>
      <c r="H242" s="12">
        <v>46630</v>
      </c>
      <c r="I242" s="11">
        <v>192</v>
      </c>
      <c r="J242" s="13">
        <v>224</v>
      </c>
      <c r="K242" t="str">
        <f t="shared" si="3"/>
        <v>DE450-SDR41</v>
      </c>
      <c r="L242" s="1">
        <f>VLOOKUP(K242,'[1]Tarif - Evolution Marché'!$F:$I,4,0)</f>
        <v>33.67552222222222</v>
      </c>
    </row>
    <row r="243" spans="1:12" x14ac:dyDescent="0.3">
      <c r="A243" s="14" t="s">
        <v>23</v>
      </c>
      <c r="B243" s="15">
        <v>500</v>
      </c>
      <c r="C243" s="15" t="s">
        <v>3</v>
      </c>
      <c r="D243" s="15">
        <v>4</v>
      </c>
      <c r="E243" s="20">
        <v>41.99</v>
      </c>
      <c r="F243" s="15" t="s">
        <v>13</v>
      </c>
      <c r="G243" s="15" t="s">
        <v>16</v>
      </c>
      <c r="H243" s="17">
        <v>46630</v>
      </c>
      <c r="I243" s="15">
        <v>192</v>
      </c>
      <c r="J243" s="18">
        <v>224</v>
      </c>
      <c r="K243" t="str">
        <f t="shared" si="3"/>
        <v>DE500-SDR41</v>
      </c>
      <c r="L243" s="1">
        <f>VLOOKUP(K243,'[1]Tarif - Evolution Marché'!$F:$I,4,0)</f>
        <v>41.985066666666661</v>
      </c>
    </row>
    <row r="244" spans="1:12" x14ac:dyDescent="0.3">
      <c r="A244" s="8" t="s">
        <v>23</v>
      </c>
      <c r="B244" s="11">
        <v>560</v>
      </c>
      <c r="C244" s="11" t="s">
        <v>3</v>
      </c>
      <c r="D244" s="11">
        <v>4</v>
      </c>
      <c r="E244" s="20">
        <v>52.26</v>
      </c>
      <c r="F244" s="11" t="s">
        <v>13</v>
      </c>
      <c r="G244" s="11" t="s">
        <v>16</v>
      </c>
      <c r="H244" s="12">
        <v>46630</v>
      </c>
      <c r="I244" s="11">
        <v>192</v>
      </c>
      <c r="J244" s="13">
        <v>224</v>
      </c>
      <c r="K244" t="str">
        <f t="shared" si="3"/>
        <v>DE560-SDR41</v>
      </c>
      <c r="L244" s="1">
        <f>VLOOKUP(K244,'[1]Tarif - Evolution Marché'!$F:$I,4,0)</f>
        <v>52.2626611111111</v>
      </c>
    </row>
    <row r="245" spans="1:12" x14ac:dyDescent="0.3">
      <c r="A245" s="14" t="s">
        <v>23</v>
      </c>
      <c r="B245" s="15">
        <v>630</v>
      </c>
      <c r="C245" s="15" t="s">
        <v>3</v>
      </c>
      <c r="D245" s="15">
        <v>4</v>
      </c>
      <c r="E245" s="20">
        <v>66.040000000000006</v>
      </c>
      <c r="F245" s="15" t="s">
        <v>13</v>
      </c>
      <c r="G245" s="15" t="s">
        <v>16</v>
      </c>
      <c r="H245" s="17">
        <v>46630</v>
      </c>
      <c r="I245" s="15">
        <v>108</v>
      </c>
      <c r="J245" s="18">
        <v>126</v>
      </c>
      <c r="K245" t="str">
        <f t="shared" si="3"/>
        <v>DE630-SDR41</v>
      </c>
      <c r="L245" s="1">
        <f>VLOOKUP(K245,'[1]Tarif - Evolution Marché'!$F:$I,4,0)</f>
        <v>66.039011111111108</v>
      </c>
    </row>
    <row r="246" spans="1:12" x14ac:dyDescent="0.3">
      <c r="A246" s="8" t="s">
        <v>23</v>
      </c>
      <c r="B246" s="11">
        <v>710</v>
      </c>
      <c r="C246" s="11" t="s">
        <v>3</v>
      </c>
      <c r="D246" s="11">
        <v>4</v>
      </c>
      <c r="E246" s="20">
        <v>83.97</v>
      </c>
      <c r="F246" s="11" t="s">
        <v>13</v>
      </c>
      <c r="G246" s="11" t="s">
        <v>16</v>
      </c>
      <c r="H246" s="12">
        <v>46630</v>
      </c>
      <c r="I246" s="11">
        <v>108</v>
      </c>
      <c r="J246" s="13">
        <v>126</v>
      </c>
      <c r="K246" t="str">
        <f t="shared" si="3"/>
        <v>DE710-SDR41</v>
      </c>
      <c r="L246" s="1">
        <f>VLOOKUP(K246,'[1]Tarif - Evolution Marché'!$F:$I,4,0)</f>
        <v>83.970133333333322</v>
      </c>
    </row>
    <row r="247" spans="1:12" x14ac:dyDescent="0.3">
      <c r="A247" s="14" t="s">
        <v>23</v>
      </c>
      <c r="B247" s="15">
        <v>800</v>
      </c>
      <c r="C247" s="15" t="s">
        <v>3</v>
      </c>
      <c r="D247" s="15">
        <v>4</v>
      </c>
      <c r="E247" s="20">
        <v>106.49</v>
      </c>
      <c r="F247" s="15" t="s">
        <v>13</v>
      </c>
      <c r="G247" s="15" t="s">
        <v>16</v>
      </c>
      <c r="H247" s="17">
        <v>46630</v>
      </c>
      <c r="I247" s="15">
        <v>108</v>
      </c>
      <c r="J247" s="18">
        <v>126</v>
      </c>
      <c r="K247" t="str">
        <f t="shared" si="3"/>
        <v>DE800-SDR41</v>
      </c>
      <c r="L247" s="1">
        <f>VLOOKUP(K247,'[1]Tarif - Evolution Marché'!$F:$I,4,0)</f>
        <v>106.49337222222222</v>
      </c>
    </row>
    <row r="248" spans="1:12" x14ac:dyDescent="0.3">
      <c r="A248" s="8" t="s">
        <v>23</v>
      </c>
      <c r="B248" s="11">
        <v>900</v>
      </c>
      <c r="C248" s="11" t="s">
        <v>3</v>
      </c>
      <c r="D248" s="11">
        <v>4</v>
      </c>
      <c r="E248" s="20">
        <v>134.05000000000001</v>
      </c>
      <c r="F248" s="11" t="s">
        <v>13</v>
      </c>
      <c r="G248" s="11" t="s">
        <v>16</v>
      </c>
      <c r="H248" s="12">
        <v>46630</v>
      </c>
      <c r="I248" s="11">
        <v>72</v>
      </c>
      <c r="J248" s="13">
        <v>84</v>
      </c>
      <c r="K248" t="str">
        <f t="shared" si="3"/>
        <v>DE900-SDR41</v>
      </c>
      <c r="L248" s="1">
        <f>VLOOKUP(K248,'[1]Tarif - Evolution Marché'!$F:$I,4,0)</f>
        <v>134.04607222222219</v>
      </c>
    </row>
    <row r="249" spans="1:12" x14ac:dyDescent="0.3">
      <c r="A249" s="14" t="s">
        <v>23</v>
      </c>
      <c r="B249" s="15">
        <v>1000</v>
      </c>
      <c r="C249" s="15" t="s">
        <v>3</v>
      </c>
      <c r="D249" s="15">
        <v>4</v>
      </c>
      <c r="E249" s="20">
        <v>165.97</v>
      </c>
      <c r="F249" s="15" t="s">
        <v>13</v>
      </c>
      <c r="G249" s="15" t="s">
        <v>16</v>
      </c>
      <c r="H249" s="17">
        <v>46630</v>
      </c>
      <c r="I249" s="15">
        <v>48</v>
      </c>
      <c r="J249" s="18">
        <v>56</v>
      </c>
      <c r="K249" t="str">
        <f t="shared" si="3"/>
        <v>DE1000-SDR41</v>
      </c>
      <c r="L249" s="1">
        <f>VLOOKUP(K249,'[1]Tarif - Evolution Marché'!$F:$I,4,0)</f>
        <v>165.97221666666667</v>
      </c>
    </row>
    <row r="250" spans="1:12" x14ac:dyDescent="0.3">
      <c r="A250" s="8" t="s">
        <v>23</v>
      </c>
      <c r="B250" s="11">
        <v>1200</v>
      </c>
      <c r="C250" s="11" t="s">
        <v>3</v>
      </c>
      <c r="D250" s="11">
        <v>4</v>
      </c>
      <c r="E250" s="20">
        <v>238.35</v>
      </c>
      <c r="F250" s="11" t="s">
        <v>13</v>
      </c>
      <c r="G250" s="11" t="s">
        <v>16</v>
      </c>
      <c r="H250" s="12">
        <v>46630</v>
      </c>
      <c r="I250" s="11">
        <v>36</v>
      </c>
      <c r="J250" s="13">
        <v>42</v>
      </c>
      <c r="K250" t="str">
        <f t="shared" si="3"/>
        <v>DE1200-SDR41</v>
      </c>
      <c r="L250" s="1">
        <f>VLOOKUP(K250,'[1]Tarif - Evolution Marché'!$F:$I,4,0)</f>
        <v>238.35272222222221</v>
      </c>
    </row>
    <row r="251" spans="1:12" x14ac:dyDescent="0.3">
      <c r="A251" s="14" t="s">
        <v>23</v>
      </c>
      <c r="B251" s="15">
        <v>50</v>
      </c>
      <c r="C251" s="15" t="s">
        <v>4</v>
      </c>
      <c r="D251" s="15">
        <v>5</v>
      </c>
      <c r="E251" s="20">
        <v>0.63</v>
      </c>
      <c r="F251" s="15" t="s">
        <v>13</v>
      </c>
      <c r="G251" s="15" t="s">
        <v>16</v>
      </c>
      <c r="H251" s="17">
        <v>46630</v>
      </c>
      <c r="I251" s="17"/>
      <c r="J251" s="18"/>
      <c r="K251" t="str">
        <f t="shared" si="3"/>
        <v>DE50-SDR33</v>
      </c>
      <c r="L251" s="1">
        <f>VLOOKUP(K251,'[1]Tarif - Evolution Marché'!$F:$I,4,0)</f>
        <v>0.63414944444444432</v>
      </c>
    </row>
    <row r="252" spans="1:12" x14ac:dyDescent="0.3">
      <c r="A252" s="8" t="s">
        <v>23</v>
      </c>
      <c r="B252" s="11">
        <v>63</v>
      </c>
      <c r="C252" s="11" t="s">
        <v>4</v>
      </c>
      <c r="D252" s="11">
        <v>5</v>
      </c>
      <c r="E252" s="20">
        <v>0.88</v>
      </c>
      <c r="F252" s="11" t="s">
        <v>13</v>
      </c>
      <c r="G252" s="11" t="s">
        <v>16</v>
      </c>
      <c r="H252" s="12">
        <v>46630</v>
      </c>
      <c r="I252" s="12"/>
      <c r="J252" s="13"/>
      <c r="K252" t="str">
        <f t="shared" si="3"/>
        <v>DE63-SDR33</v>
      </c>
      <c r="L252" s="1">
        <f>VLOOKUP(K252,'[1]Tarif - Evolution Marché'!$F:$I,4,0)</f>
        <v>0.88124905555555555</v>
      </c>
    </row>
    <row r="253" spans="1:12" x14ac:dyDescent="0.3">
      <c r="A253" s="14" t="s">
        <v>23</v>
      </c>
      <c r="B253" s="15">
        <v>75</v>
      </c>
      <c r="C253" s="15" t="s">
        <v>4</v>
      </c>
      <c r="D253" s="15">
        <v>5</v>
      </c>
      <c r="E253" s="20">
        <v>1.22</v>
      </c>
      <c r="F253" s="15" t="s">
        <v>13</v>
      </c>
      <c r="G253" s="15" t="s">
        <v>16</v>
      </c>
      <c r="H253" s="17">
        <v>46630</v>
      </c>
      <c r="I253" s="17"/>
      <c r="J253" s="18"/>
      <c r="K253" t="str">
        <f t="shared" si="3"/>
        <v>DE75-SDR33</v>
      </c>
      <c r="L253" s="1">
        <f>VLOOKUP(K253,'[1]Tarif - Evolution Marché'!$F:$I,4,0)</f>
        <v>1.2180042777777778</v>
      </c>
    </row>
    <row r="254" spans="1:12" x14ac:dyDescent="0.3">
      <c r="A254" s="8" t="s">
        <v>23</v>
      </c>
      <c r="B254" s="11">
        <v>90</v>
      </c>
      <c r="C254" s="11" t="s">
        <v>4</v>
      </c>
      <c r="D254" s="11">
        <v>5</v>
      </c>
      <c r="E254" s="20">
        <v>1.75</v>
      </c>
      <c r="F254" s="11" t="s">
        <v>13</v>
      </c>
      <c r="G254" s="11" t="s">
        <v>16</v>
      </c>
      <c r="H254" s="12">
        <v>46630</v>
      </c>
      <c r="I254" s="12"/>
      <c r="J254" s="13"/>
      <c r="K254" t="str">
        <f t="shared" si="3"/>
        <v>DE90-SDR33</v>
      </c>
      <c r="L254" s="1">
        <f>VLOOKUP(K254,'[1]Tarif - Evolution Marché'!$F:$I,4,0)</f>
        <v>1.7493777777777777</v>
      </c>
    </row>
    <row r="255" spans="1:12" x14ac:dyDescent="0.3">
      <c r="A255" s="14" t="s">
        <v>23</v>
      </c>
      <c r="B255" s="15">
        <v>110</v>
      </c>
      <c r="C255" s="15" t="s">
        <v>4</v>
      </c>
      <c r="D255" s="15">
        <v>5</v>
      </c>
      <c r="E255" s="20">
        <v>2.6</v>
      </c>
      <c r="F255" s="15" t="s">
        <v>13</v>
      </c>
      <c r="G255" s="15" t="s">
        <v>16</v>
      </c>
      <c r="H255" s="17">
        <v>46630</v>
      </c>
      <c r="I255" s="17"/>
      <c r="J255" s="18"/>
      <c r="K255" t="str">
        <f t="shared" si="3"/>
        <v>DE110-SDR33</v>
      </c>
      <c r="L255" s="1">
        <f>VLOOKUP(K255,'[1]Tarif - Evolution Marché'!$F:$I,4,0)</f>
        <v>2.6021994444444441</v>
      </c>
    </row>
    <row r="256" spans="1:12" x14ac:dyDescent="0.3">
      <c r="A256" s="8" t="s">
        <v>23</v>
      </c>
      <c r="B256" s="11">
        <v>125</v>
      </c>
      <c r="C256" s="11" t="s">
        <v>4</v>
      </c>
      <c r="D256" s="11">
        <v>5</v>
      </c>
      <c r="E256" s="20">
        <v>3.35</v>
      </c>
      <c r="F256" s="11" t="s">
        <v>13</v>
      </c>
      <c r="G256" s="11" t="s">
        <v>16</v>
      </c>
      <c r="H256" s="12">
        <v>46630</v>
      </c>
      <c r="I256" s="11">
        <v>2400</v>
      </c>
      <c r="J256" s="13">
        <v>2800</v>
      </c>
      <c r="K256" t="str">
        <f t="shared" si="3"/>
        <v>DE125-SDR33</v>
      </c>
      <c r="L256" s="1">
        <f>VLOOKUP(K256,'[1]Tarif - Evolution Marché'!$F:$I,4,0)</f>
        <v>3.3456849999999996</v>
      </c>
    </row>
    <row r="257" spans="1:12" x14ac:dyDescent="0.3">
      <c r="A257" s="14" t="s">
        <v>23</v>
      </c>
      <c r="B257" s="15">
        <v>140</v>
      </c>
      <c r="C257" s="15" t="s">
        <v>4</v>
      </c>
      <c r="D257" s="15">
        <v>5</v>
      </c>
      <c r="E257" s="20">
        <v>4.1500000000000004</v>
      </c>
      <c r="F257" s="15" t="s">
        <v>13</v>
      </c>
      <c r="G257" s="15" t="s">
        <v>16</v>
      </c>
      <c r="H257" s="17">
        <v>46630</v>
      </c>
      <c r="I257" s="15">
        <v>1920</v>
      </c>
      <c r="J257" s="18">
        <v>2240</v>
      </c>
      <c r="K257" t="str">
        <f t="shared" si="3"/>
        <v>DE140-SDR33</v>
      </c>
      <c r="L257" s="1">
        <f>VLOOKUP(K257,'[1]Tarif - Evolution Marché'!$F:$I,4,0)</f>
        <v>4.1547722222222214</v>
      </c>
    </row>
    <row r="258" spans="1:12" x14ac:dyDescent="0.3">
      <c r="A258" s="8" t="s">
        <v>23</v>
      </c>
      <c r="B258" s="11">
        <v>160</v>
      </c>
      <c r="C258" s="11" t="s">
        <v>4</v>
      </c>
      <c r="D258" s="11">
        <v>5</v>
      </c>
      <c r="E258" s="20">
        <v>5.36</v>
      </c>
      <c r="F258" s="11" t="s">
        <v>13</v>
      </c>
      <c r="G258" s="11" t="s">
        <v>16</v>
      </c>
      <c r="H258" s="12">
        <v>46630</v>
      </c>
      <c r="I258" s="11">
        <v>1920</v>
      </c>
      <c r="J258" s="13">
        <v>2240</v>
      </c>
      <c r="K258" t="str">
        <f t="shared" si="3"/>
        <v>DE160-SDR33</v>
      </c>
      <c r="L258" s="1">
        <f>VLOOKUP(K258,'[1]Tarif - Evolution Marché'!$F:$I,4,0)</f>
        <v>5.357469444444444</v>
      </c>
    </row>
    <row r="259" spans="1:12" x14ac:dyDescent="0.3">
      <c r="A259" s="14" t="s">
        <v>23</v>
      </c>
      <c r="B259" s="15">
        <v>180</v>
      </c>
      <c r="C259" s="15" t="s">
        <v>4</v>
      </c>
      <c r="D259" s="15">
        <v>5</v>
      </c>
      <c r="E259" s="20">
        <v>6.78</v>
      </c>
      <c r="F259" s="15" t="s">
        <v>13</v>
      </c>
      <c r="G259" s="15" t="s">
        <v>16</v>
      </c>
      <c r="H259" s="17">
        <v>46630</v>
      </c>
      <c r="I259" s="15">
        <v>1200</v>
      </c>
      <c r="J259" s="18">
        <v>1400</v>
      </c>
      <c r="K259" t="str">
        <f t="shared" ref="K259:K322" si="4">CONCATENATE("DE",B259,"-",C259)</f>
        <v>DE180-SDR33</v>
      </c>
      <c r="L259" s="1">
        <f>VLOOKUP(K259,'[1]Tarif - Evolution Marché'!$F:$I,4,0)</f>
        <v>6.7788388888888882</v>
      </c>
    </row>
    <row r="260" spans="1:12" x14ac:dyDescent="0.3">
      <c r="A260" s="8" t="s">
        <v>23</v>
      </c>
      <c r="B260" s="11">
        <v>200</v>
      </c>
      <c r="C260" s="11" t="s">
        <v>4</v>
      </c>
      <c r="D260" s="11">
        <v>5</v>
      </c>
      <c r="E260" s="20">
        <v>8.48</v>
      </c>
      <c r="F260" s="11" t="s">
        <v>13</v>
      </c>
      <c r="G260" s="11" t="s">
        <v>16</v>
      </c>
      <c r="H260" s="12">
        <v>46630</v>
      </c>
      <c r="I260" s="11">
        <v>960</v>
      </c>
      <c r="J260" s="13">
        <v>1120</v>
      </c>
      <c r="K260" t="str">
        <f t="shared" si="4"/>
        <v>DE200-SDR33</v>
      </c>
      <c r="L260" s="1">
        <f>VLOOKUP(K260,'[1]Tarif - Evolution Marché'!$F:$I,4,0)</f>
        <v>8.4844822222222209</v>
      </c>
    </row>
    <row r="261" spans="1:12" x14ac:dyDescent="0.3">
      <c r="A261" s="14" t="s">
        <v>23</v>
      </c>
      <c r="B261" s="15">
        <v>225</v>
      </c>
      <c r="C261" s="15" t="s">
        <v>4</v>
      </c>
      <c r="D261" s="15">
        <v>5</v>
      </c>
      <c r="E261" s="20">
        <v>10.54</v>
      </c>
      <c r="F261" s="15" t="s">
        <v>13</v>
      </c>
      <c r="G261" s="15" t="s">
        <v>16</v>
      </c>
      <c r="H261" s="17">
        <v>46630</v>
      </c>
      <c r="I261" s="15">
        <v>960</v>
      </c>
      <c r="J261" s="18">
        <v>1120</v>
      </c>
      <c r="K261" t="str">
        <f t="shared" si="4"/>
        <v>DE225-SDR33</v>
      </c>
      <c r="L261" s="1">
        <f>VLOOKUP(K261,'[1]Tarif - Evolution Marché'!$F:$I,4,0)</f>
        <v>10.540001111111112</v>
      </c>
    </row>
    <row r="262" spans="1:12" x14ac:dyDescent="0.3">
      <c r="A262" s="8" t="s">
        <v>23</v>
      </c>
      <c r="B262" s="11">
        <v>250</v>
      </c>
      <c r="C262" s="11" t="s">
        <v>4</v>
      </c>
      <c r="D262" s="11">
        <v>5</v>
      </c>
      <c r="E262" s="20">
        <v>13.08</v>
      </c>
      <c r="F262" s="11" t="s">
        <v>13</v>
      </c>
      <c r="G262" s="11" t="s">
        <v>16</v>
      </c>
      <c r="H262" s="12">
        <v>46630</v>
      </c>
      <c r="I262" s="11">
        <v>672</v>
      </c>
      <c r="J262" s="13">
        <v>784</v>
      </c>
      <c r="K262" t="str">
        <f t="shared" si="4"/>
        <v>DE250-SDR33</v>
      </c>
      <c r="L262" s="1">
        <f>VLOOKUP(K262,'[1]Tarif - Evolution Marché'!$F:$I,4,0)</f>
        <v>13.076598888888888</v>
      </c>
    </row>
    <row r="263" spans="1:12" x14ac:dyDescent="0.3">
      <c r="A263" s="14" t="s">
        <v>23</v>
      </c>
      <c r="B263" s="15">
        <v>280</v>
      </c>
      <c r="C263" s="15" t="s">
        <v>4</v>
      </c>
      <c r="D263" s="15">
        <v>5</v>
      </c>
      <c r="E263" s="20">
        <v>16.329999999999998</v>
      </c>
      <c r="F263" s="15" t="s">
        <v>13</v>
      </c>
      <c r="G263" s="15" t="s">
        <v>16</v>
      </c>
      <c r="H263" s="17">
        <v>46630</v>
      </c>
      <c r="I263" s="15">
        <v>672</v>
      </c>
      <c r="J263" s="18">
        <v>784</v>
      </c>
      <c r="K263" t="str">
        <f t="shared" si="4"/>
        <v>DE280-SDR33</v>
      </c>
      <c r="L263" s="1">
        <f>VLOOKUP(K263,'[1]Tarif - Evolution Marché'!$F:$I,4,0)</f>
        <v>16.334814999999999</v>
      </c>
    </row>
    <row r="264" spans="1:12" x14ac:dyDescent="0.3">
      <c r="A264" s="8" t="s">
        <v>23</v>
      </c>
      <c r="B264" s="11">
        <v>315</v>
      </c>
      <c r="C264" s="11" t="s">
        <v>4</v>
      </c>
      <c r="D264" s="11">
        <v>5</v>
      </c>
      <c r="E264" s="20">
        <v>20.71</v>
      </c>
      <c r="F264" s="11" t="s">
        <v>13</v>
      </c>
      <c r="G264" s="11" t="s">
        <v>16</v>
      </c>
      <c r="H264" s="12">
        <v>46630</v>
      </c>
      <c r="I264" s="11">
        <v>432</v>
      </c>
      <c r="J264" s="13">
        <v>504</v>
      </c>
      <c r="K264" t="str">
        <f t="shared" si="4"/>
        <v>DE315-SDR33</v>
      </c>
      <c r="L264" s="1">
        <f>VLOOKUP(K264,'[1]Tarif - Evolution Marché'!$F:$I,4,0)</f>
        <v>20.708259444444444</v>
      </c>
    </row>
    <row r="265" spans="1:12" x14ac:dyDescent="0.3">
      <c r="A265" s="14" t="s">
        <v>23</v>
      </c>
      <c r="B265" s="15">
        <v>355</v>
      </c>
      <c r="C265" s="15" t="s">
        <v>4</v>
      </c>
      <c r="D265" s="15">
        <v>5</v>
      </c>
      <c r="E265" s="20">
        <v>26.24</v>
      </c>
      <c r="F265" s="15" t="s">
        <v>13</v>
      </c>
      <c r="G265" s="15" t="s">
        <v>16</v>
      </c>
      <c r="H265" s="17">
        <v>46630</v>
      </c>
      <c r="I265" s="15">
        <v>360</v>
      </c>
      <c r="J265" s="18">
        <v>420</v>
      </c>
      <c r="K265" t="str">
        <f t="shared" si="4"/>
        <v>DE355-SDR33</v>
      </c>
      <c r="L265" s="1">
        <f>VLOOKUP(K265,'[1]Tarif - Evolution Marché'!$F:$I,4,0)</f>
        <v>26.240666666666662</v>
      </c>
    </row>
    <row r="266" spans="1:12" x14ac:dyDescent="0.3">
      <c r="A266" s="8" t="s">
        <v>23</v>
      </c>
      <c r="B266" s="11">
        <v>400</v>
      </c>
      <c r="C266" s="11" t="s">
        <v>4</v>
      </c>
      <c r="D266" s="11">
        <v>5</v>
      </c>
      <c r="E266" s="20">
        <v>33.24</v>
      </c>
      <c r="F266" s="11" t="s">
        <v>13</v>
      </c>
      <c r="G266" s="11" t="s">
        <v>16</v>
      </c>
      <c r="H266" s="12">
        <v>46630</v>
      </c>
      <c r="I266" s="11">
        <v>360</v>
      </c>
      <c r="J266" s="13">
        <v>420</v>
      </c>
      <c r="K266" t="str">
        <f t="shared" si="4"/>
        <v>DE400-SDR33</v>
      </c>
      <c r="L266" s="1">
        <f>VLOOKUP(K266,'[1]Tarif - Evolution Marché'!$F:$I,4,0)</f>
        <v>33.238177777777771</v>
      </c>
    </row>
    <row r="267" spans="1:12" x14ac:dyDescent="0.3">
      <c r="A267" s="14" t="s">
        <v>23</v>
      </c>
      <c r="B267" s="15">
        <v>450</v>
      </c>
      <c r="C267" s="15" t="s">
        <v>4</v>
      </c>
      <c r="D267" s="15">
        <v>5</v>
      </c>
      <c r="E267" s="20">
        <v>41.99</v>
      </c>
      <c r="F267" s="15" t="s">
        <v>13</v>
      </c>
      <c r="G267" s="15" t="s">
        <v>16</v>
      </c>
      <c r="H267" s="17">
        <v>46630</v>
      </c>
      <c r="I267" s="15">
        <v>192</v>
      </c>
      <c r="J267" s="18">
        <v>224</v>
      </c>
      <c r="K267" t="str">
        <f t="shared" si="4"/>
        <v>DE450-SDR33</v>
      </c>
      <c r="L267" s="1">
        <f>VLOOKUP(K267,'[1]Tarif - Evolution Marché'!$F:$I,4,0)</f>
        <v>41.985066666666661</v>
      </c>
    </row>
    <row r="268" spans="1:12" x14ac:dyDescent="0.3">
      <c r="A268" s="8" t="s">
        <v>23</v>
      </c>
      <c r="B268" s="11">
        <v>500</v>
      </c>
      <c r="C268" s="11" t="s">
        <v>4</v>
      </c>
      <c r="D268" s="11">
        <v>5</v>
      </c>
      <c r="E268" s="20">
        <v>51.61</v>
      </c>
      <c r="F268" s="11" t="s">
        <v>13</v>
      </c>
      <c r="G268" s="11" t="s">
        <v>16</v>
      </c>
      <c r="H268" s="12">
        <v>46630</v>
      </c>
      <c r="I268" s="11">
        <v>192</v>
      </c>
      <c r="J268" s="13">
        <v>224</v>
      </c>
      <c r="K268" t="str">
        <f t="shared" si="4"/>
        <v>DE500-SDR33</v>
      </c>
      <c r="L268" s="1">
        <f>VLOOKUP(K268,'[1]Tarif - Evolution Marché'!$F:$I,4,0)</f>
        <v>51.606644444444441</v>
      </c>
    </row>
    <row r="269" spans="1:12" x14ac:dyDescent="0.3">
      <c r="A269" s="14" t="s">
        <v>23</v>
      </c>
      <c r="B269" s="15">
        <v>560</v>
      </c>
      <c r="C269" s="15" t="s">
        <v>4</v>
      </c>
      <c r="D269" s="15">
        <v>5</v>
      </c>
      <c r="E269" s="20">
        <v>64.95</v>
      </c>
      <c r="F269" s="15" t="s">
        <v>13</v>
      </c>
      <c r="G269" s="15" t="s">
        <v>16</v>
      </c>
      <c r="H269" s="17">
        <v>46630</v>
      </c>
      <c r="I269" s="15">
        <v>192</v>
      </c>
      <c r="J269" s="18">
        <v>224</v>
      </c>
      <c r="K269" t="str">
        <f t="shared" si="4"/>
        <v>DE560-SDR33</v>
      </c>
      <c r="L269" s="1">
        <f>VLOOKUP(K269,'[1]Tarif - Evolution Marché'!$F:$I,4,0)</f>
        <v>64.945649999999986</v>
      </c>
    </row>
    <row r="270" spans="1:12" x14ac:dyDescent="0.3">
      <c r="A270" s="8" t="s">
        <v>23</v>
      </c>
      <c r="B270" s="11">
        <v>630</v>
      </c>
      <c r="C270" s="11" t="s">
        <v>4</v>
      </c>
      <c r="D270" s="11">
        <v>5</v>
      </c>
      <c r="E270" s="20">
        <v>82</v>
      </c>
      <c r="F270" s="11" t="s">
        <v>13</v>
      </c>
      <c r="G270" s="11" t="s">
        <v>16</v>
      </c>
      <c r="H270" s="12">
        <v>46630</v>
      </c>
      <c r="I270" s="11">
        <v>108</v>
      </c>
      <c r="J270" s="13">
        <v>126</v>
      </c>
      <c r="K270" t="str">
        <f t="shared" si="4"/>
        <v>DE630-SDR33</v>
      </c>
      <c r="L270" s="1">
        <f>VLOOKUP(K270,'[1]Tarif - Evolution Marché'!$F:$I,4,0)</f>
        <v>82.002083333333331</v>
      </c>
    </row>
    <row r="271" spans="1:12" x14ac:dyDescent="0.3">
      <c r="A271" s="14" t="s">
        <v>23</v>
      </c>
      <c r="B271" s="15">
        <v>710</v>
      </c>
      <c r="C271" s="15" t="s">
        <v>4</v>
      </c>
      <c r="D271" s="15">
        <v>5</v>
      </c>
      <c r="E271" s="20">
        <v>104.31</v>
      </c>
      <c r="F271" s="15" t="s">
        <v>13</v>
      </c>
      <c r="G271" s="15" t="s">
        <v>16</v>
      </c>
      <c r="H271" s="17">
        <v>46630</v>
      </c>
      <c r="I271" s="15">
        <v>108</v>
      </c>
      <c r="J271" s="18">
        <v>126</v>
      </c>
      <c r="K271" t="str">
        <f t="shared" si="4"/>
        <v>DE710-SDR33</v>
      </c>
      <c r="L271" s="1">
        <f>VLOOKUP(K271,'[1]Tarif - Evolution Marché'!$F:$I,4,0)</f>
        <v>104.30664999999999</v>
      </c>
    </row>
    <row r="272" spans="1:12" x14ac:dyDescent="0.3">
      <c r="A272" s="8" t="s">
        <v>23</v>
      </c>
      <c r="B272" s="11">
        <v>800</v>
      </c>
      <c r="C272" s="11" t="s">
        <v>4</v>
      </c>
      <c r="D272" s="11">
        <v>5</v>
      </c>
      <c r="E272" s="20">
        <v>132.08000000000001</v>
      </c>
      <c r="F272" s="11" t="s">
        <v>13</v>
      </c>
      <c r="G272" s="11" t="s">
        <v>16</v>
      </c>
      <c r="H272" s="12">
        <v>46630</v>
      </c>
      <c r="I272" s="11">
        <v>108</v>
      </c>
      <c r="J272" s="13">
        <v>126</v>
      </c>
      <c r="K272" t="str">
        <f t="shared" si="4"/>
        <v>DE800-SDR33</v>
      </c>
      <c r="L272" s="1">
        <f>VLOOKUP(K272,'[1]Tarif - Evolution Marché'!$F:$I,4,0)</f>
        <v>132.07802222222222</v>
      </c>
    </row>
    <row r="273" spans="1:12" x14ac:dyDescent="0.3">
      <c r="A273" s="14" t="s">
        <v>23</v>
      </c>
      <c r="B273" s="15">
        <v>900</v>
      </c>
      <c r="C273" s="15" t="s">
        <v>4</v>
      </c>
      <c r="D273" s="15">
        <v>5</v>
      </c>
      <c r="E273" s="20">
        <v>167.07</v>
      </c>
      <c r="F273" s="15" t="s">
        <v>13</v>
      </c>
      <c r="G273" s="15" t="s">
        <v>16</v>
      </c>
      <c r="H273" s="17">
        <v>46630</v>
      </c>
      <c r="I273" s="15">
        <v>72</v>
      </c>
      <c r="J273" s="18">
        <v>84</v>
      </c>
      <c r="K273" t="str">
        <f t="shared" si="4"/>
        <v>DE900-SDR33</v>
      </c>
      <c r="L273" s="1">
        <f>VLOOKUP(K273,'[1]Tarif - Evolution Marché'!$F:$I,4,0)</f>
        <v>167.06557777777778</v>
      </c>
    </row>
    <row r="274" spans="1:12" x14ac:dyDescent="0.3">
      <c r="A274" s="8" t="s">
        <v>23</v>
      </c>
      <c r="B274" s="11">
        <v>1000</v>
      </c>
      <c r="C274" s="11" t="s">
        <v>4</v>
      </c>
      <c r="D274" s="11">
        <v>5</v>
      </c>
      <c r="E274" s="20">
        <v>205.77</v>
      </c>
      <c r="F274" s="11" t="s">
        <v>13</v>
      </c>
      <c r="G274" s="11" t="s">
        <v>16</v>
      </c>
      <c r="H274" s="12">
        <v>46630</v>
      </c>
      <c r="I274" s="11">
        <v>48</v>
      </c>
      <c r="J274" s="13">
        <v>56</v>
      </c>
      <c r="K274" t="str">
        <f t="shared" si="4"/>
        <v>DE1000-SDR33</v>
      </c>
      <c r="L274" s="1">
        <f>VLOOKUP(K274,'[1]Tarif - Evolution Marché'!$F:$I,4,0)</f>
        <v>205.77056111111108</v>
      </c>
    </row>
    <row r="275" spans="1:12" x14ac:dyDescent="0.3">
      <c r="A275" s="14" t="s">
        <v>23</v>
      </c>
      <c r="B275" s="15">
        <v>1200</v>
      </c>
      <c r="C275" s="15" t="s">
        <v>4</v>
      </c>
      <c r="D275" s="15">
        <v>5</v>
      </c>
      <c r="E275" s="20">
        <v>295.20999999999998</v>
      </c>
      <c r="F275" s="15" t="s">
        <v>13</v>
      </c>
      <c r="G275" s="15" t="s">
        <v>16</v>
      </c>
      <c r="H275" s="17">
        <v>46630</v>
      </c>
      <c r="I275" s="15">
        <v>36</v>
      </c>
      <c r="J275" s="18">
        <v>42</v>
      </c>
      <c r="K275" t="str">
        <f t="shared" si="4"/>
        <v>DE1200-SDR33</v>
      </c>
      <c r="L275" s="1">
        <f>VLOOKUP(K275,'[1]Tarif - Evolution Marché'!$F:$I,4,0)</f>
        <v>295.20749999999998</v>
      </c>
    </row>
    <row r="276" spans="1:12" x14ac:dyDescent="0.3">
      <c r="A276" s="8" t="s">
        <v>23</v>
      </c>
      <c r="B276" s="11">
        <v>40</v>
      </c>
      <c r="C276" s="11" t="s">
        <v>5</v>
      </c>
      <c r="D276" s="11">
        <v>6</v>
      </c>
      <c r="E276" s="20">
        <v>0.5</v>
      </c>
      <c r="F276" s="11" t="s">
        <v>13</v>
      </c>
      <c r="G276" s="11" t="s">
        <v>16</v>
      </c>
      <c r="H276" s="12">
        <v>46630</v>
      </c>
      <c r="I276" s="12"/>
      <c r="J276" s="13"/>
      <c r="K276" t="str">
        <f t="shared" si="4"/>
        <v>DE40-SDR26</v>
      </c>
      <c r="L276" s="1">
        <f>VLOOKUP(K276,'[1]Tarif - Evolution Marché'!$F:$I,4,0)</f>
        <v>0.50075938888888882</v>
      </c>
    </row>
    <row r="277" spans="1:12" x14ac:dyDescent="0.3">
      <c r="A277" s="14" t="s">
        <v>23</v>
      </c>
      <c r="B277" s="15">
        <v>50</v>
      </c>
      <c r="C277" s="15" t="s">
        <v>5</v>
      </c>
      <c r="D277" s="15">
        <v>6</v>
      </c>
      <c r="E277" s="20">
        <v>0.69</v>
      </c>
      <c r="F277" s="15" t="s">
        <v>13</v>
      </c>
      <c r="G277" s="15" t="s">
        <v>16</v>
      </c>
      <c r="H277" s="17">
        <v>46630</v>
      </c>
      <c r="I277" s="17"/>
      <c r="J277" s="18"/>
      <c r="K277" t="str">
        <f t="shared" si="4"/>
        <v>DE50-SDR26</v>
      </c>
      <c r="L277" s="1">
        <f>VLOOKUP(K277,'[1]Tarif - Evolution Marché'!$F:$I,4,0)</f>
        <v>0.6931909444444444</v>
      </c>
    </row>
    <row r="278" spans="1:12" x14ac:dyDescent="0.3">
      <c r="A278" s="8" t="s">
        <v>23</v>
      </c>
      <c r="B278" s="11">
        <v>63</v>
      </c>
      <c r="C278" s="11" t="s">
        <v>5</v>
      </c>
      <c r="D278" s="11">
        <v>6</v>
      </c>
      <c r="E278" s="20">
        <v>1.0900000000000001</v>
      </c>
      <c r="F278" s="11" t="s">
        <v>13</v>
      </c>
      <c r="G278" s="11" t="s">
        <v>16</v>
      </c>
      <c r="H278" s="12">
        <v>46630</v>
      </c>
      <c r="I278" s="12"/>
      <c r="J278" s="13"/>
      <c r="K278" t="str">
        <f t="shared" si="4"/>
        <v>DE63-SDR26</v>
      </c>
      <c r="L278" s="1">
        <f>VLOOKUP(K278,'[1]Tarif - Evolution Marché'!$F:$I,4,0)</f>
        <v>1.093361111111111</v>
      </c>
    </row>
    <row r="279" spans="1:12" x14ac:dyDescent="0.3">
      <c r="A279" s="14" t="s">
        <v>23</v>
      </c>
      <c r="B279" s="15">
        <v>75</v>
      </c>
      <c r="C279" s="15" t="s">
        <v>5</v>
      </c>
      <c r="D279" s="15">
        <v>6</v>
      </c>
      <c r="E279" s="20">
        <v>1.49</v>
      </c>
      <c r="F279" s="15" t="s">
        <v>13</v>
      </c>
      <c r="G279" s="15" t="s">
        <v>16</v>
      </c>
      <c r="H279" s="17">
        <v>46630</v>
      </c>
      <c r="I279" s="17"/>
      <c r="J279" s="18"/>
      <c r="K279" t="str">
        <f t="shared" si="4"/>
        <v>DE75-SDR26</v>
      </c>
      <c r="L279" s="1">
        <f>VLOOKUP(K279,'[1]Tarif - Evolution Marché'!$F:$I,4,0)</f>
        <v>1.4935312777777778</v>
      </c>
    </row>
    <row r="280" spans="1:12" x14ac:dyDescent="0.3">
      <c r="A280" s="8" t="s">
        <v>23</v>
      </c>
      <c r="B280" s="11">
        <v>90</v>
      </c>
      <c r="C280" s="11" t="s">
        <v>5</v>
      </c>
      <c r="D280" s="11">
        <v>6</v>
      </c>
      <c r="E280" s="20">
        <v>2.16</v>
      </c>
      <c r="F280" s="11" t="s">
        <v>13</v>
      </c>
      <c r="G280" s="11" t="s">
        <v>16</v>
      </c>
      <c r="H280" s="12">
        <v>46630</v>
      </c>
      <c r="I280" s="12"/>
      <c r="J280" s="13"/>
      <c r="K280" t="str">
        <f t="shared" si="4"/>
        <v>DE90-SDR26</v>
      </c>
      <c r="L280" s="1">
        <f>VLOOKUP(K280,'[1]Tarif - Evolution Marché'!$F:$I,4,0)</f>
        <v>2.1604815555555552</v>
      </c>
    </row>
    <row r="281" spans="1:12" x14ac:dyDescent="0.3">
      <c r="A281" s="14" t="s">
        <v>23</v>
      </c>
      <c r="B281" s="15">
        <v>110</v>
      </c>
      <c r="C281" s="15" t="s">
        <v>5</v>
      </c>
      <c r="D281" s="15">
        <v>6</v>
      </c>
      <c r="E281" s="20">
        <v>3.17</v>
      </c>
      <c r="F281" s="15" t="s">
        <v>13</v>
      </c>
      <c r="G281" s="15" t="s">
        <v>16</v>
      </c>
      <c r="H281" s="17">
        <v>46630</v>
      </c>
      <c r="I281" s="17"/>
      <c r="J281" s="18"/>
      <c r="K281" t="str">
        <f t="shared" si="4"/>
        <v>DE110-SDR26</v>
      </c>
      <c r="L281" s="1">
        <f>VLOOKUP(K281,'[1]Tarif - Evolution Marché'!$F:$I,4,0)</f>
        <v>3.1707472222222219</v>
      </c>
    </row>
    <row r="282" spans="1:12" x14ac:dyDescent="0.3">
      <c r="A282" s="8" t="s">
        <v>23</v>
      </c>
      <c r="B282" s="11">
        <v>125</v>
      </c>
      <c r="C282" s="11" t="s">
        <v>5</v>
      </c>
      <c r="D282" s="11">
        <v>6</v>
      </c>
      <c r="E282" s="20">
        <v>4.07</v>
      </c>
      <c r="F282" s="11" t="s">
        <v>13</v>
      </c>
      <c r="G282" s="11" t="s">
        <v>16</v>
      </c>
      <c r="H282" s="12">
        <v>46630</v>
      </c>
      <c r="I282" s="11">
        <v>2400</v>
      </c>
      <c r="J282" s="13">
        <v>2800</v>
      </c>
      <c r="K282" t="str">
        <f t="shared" si="4"/>
        <v>DE125-SDR26</v>
      </c>
      <c r="L282" s="1">
        <f>VLOOKUP(K282,'[1]Tarif - Evolution Marché'!$F:$I,4,0)</f>
        <v>4.0673033333333333</v>
      </c>
    </row>
    <row r="283" spans="1:12" x14ac:dyDescent="0.3">
      <c r="A283" s="14" t="s">
        <v>23</v>
      </c>
      <c r="B283" s="15">
        <v>140</v>
      </c>
      <c r="C283" s="15" t="s">
        <v>5</v>
      </c>
      <c r="D283" s="15">
        <v>6</v>
      </c>
      <c r="E283" s="20">
        <v>5.14</v>
      </c>
      <c r="F283" s="15" t="s">
        <v>13</v>
      </c>
      <c r="G283" s="15" t="s">
        <v>16</v>
      </c>
      <c r="H283" s="17">
        <v>46630</v>
      </c>
      <c r="I283" s="15">
        <v>1920</v>
      </c>
      <c r="J283" s="18">
        <v>2240</v>
      </c>
      <c r="K283" t="str">
        <f t="shared" si="4"/>
        <v>DE140-SDR26</v>
      </c>
      <c r="L283" s="1">
        <f>VLOOKUP(K283,'[1]Tarif - Evolution Marché'!$F:$I,4,0)</f>
        <v>5.1387972222222222</v>
      </c>
    </row>
    <row r="284" spans="1:12" x14ac:dyDescent="0.3">
      <c r="A284" s="8" t="s">
        <v>23</v>
      </c>
      <c r="B284" s="11">
        <v>160</v>
      </c>
      <c r="C284" s="11" t="s">
        <v>5</v>
      </c>
      <c r="D284" s="11">
        <v>6</v>
      </c>
      <c r="E284" s="20">
        <v>6.74</v>
      </c>
      <c r="F284" s="11" t="s">
        <v>13</v>
      </c>
      <c r="G284" s="11" t="s">
        <v>16</v>
      </c>
      <c r="H284" s="12">
        <v>46630</v>
      </c>
      <c r="I284" s="11">
        <v>1920</v>
      </c>
      <c r="J284" s="13">
        <v>2240</v>
      </c>
      <c r="K284" t="str">
        <f t="shared" si="4"/>
        <v>DE160-SDR26</v>
      </c>
      <c r="L284" s="1">
        <f>VLOOKUP(K284,'[1]Tarif - Evolution Marché'!$F:$I,4,0)</f>
        <v>6.7351044444444437</v>
      </c>
    </row>
    <row r="285" spans="1:12" x14ac:dyDescent="0.3">
      <c r="A285" s="14" t="s">
        <v>23</v>
      </c>
      <c r="B285" s="15">
        <v>180</v>
      </c>
      <c r="C285" s="15" t="s">
        <v>5</v>
      </c>
      <c r="D285" s="15">
        <v>6</v>
      </c>
      <c r="E285" s="20">
        <v>8.3800000000000008</v>
      </c>
      <c r="F285" s="15" t="s">
        <v>13</v>
      </c>
      <c r="G285" s="15" t="s">
        <v>16</v>
      </c>
      <c r="H285" s="17">
        <v>46630</v>
      </c>
      <c r="I285" s="15">
        <v>1200</v>
      </c>
      <c r="J285" s="18">
        <v>1400</v>
      </c>
      <c r="K285" t="str">
        <f t="shared" si="4"/>
        <v>DE180-SDR26</v>
      </c>
      <c r="L285" s="1">
        <f>VLOOKUP(K285,'[1]Tarif - Evolution Marché'!$F:$I,4,0)</f>
        <v>8.3751461111111105</v>
      </c>
    </row>
    <row r="286" spans="1:12" x14ac:dyDescent="0.3">
      <c r="A286" s="8" t="s">
        <v>23</v>
      </c>
      <c r="B286" s="11">
        <v>200</v>
      </c>
      <c r="C286" s="11" t="s">
        <v>5</v>
      </c>
      <c r="D286" s="11">
        <v>6</v>
      </c>
      <c r="E286" s="20">
        <v>10.37</v>
      </c>
      <c r="F286" s="11" t="s">
        <v>13</v>
      </c>
      <c r="G286" s="11" t="s">
        <v>16</v>
      </c>
      <c r="H286" s="12">
        <v>46630</v>
      </c>
      <c r="I286" s="11">
        <v>960</v>
      </c>
      <c r="J286" s="13">
        <v>1120</v>
      </c>
      <c r="K286" t="str">
        <f t="shared" si="4"/>
        <v>DE200-SDR26</v>
      </c>
      <c r="L286" s="1">
        <f>VLOOKUP(K286,'[1]Tarif - Evolution Marché'!$F:$I,4,0)</f>
        <v>10.365063333333334</v>
      </c>
    </row>
    <row r="287" spans="1:12" x14ac:dyDescent="0.3">
      <c r="A287" s="14" t="s">
        <v>23</v>
      </c>
      <c r="B287" s="15">
        <v>225</v>
      </c>
      <c r="C287" s="15" t="s">
        <v>5</v>
      </c>
      <c r="D287" s="15">
        <v>6</v>
      </c>
      <c r="E287" s="20">
        <v>13.03</v>
      </c>
      <c r="F287" s="15" t="s">
        <v>13</v>
      </c>
      <c r="G287" s="15" t="s">
        <v>16</v>
      </c>
      <c r="H287" s="17">
        <v>46630</v>
      </c>
      <c r="I287" s="15">
        <v>960</v>
      </c>
      <c r="J287" s="18">
        <v>1120</v>
      </c>
      <c r="K287" t="str">
        <f t="shared" si="4"/>
        <v>DE225-SDR26</v>
      </c>
      <c r="L287" s="1">
        <f>VLOOKUP(K287,'[1]Tarif - Evolution Marché'!$F:$I,4,0)</f>
        <v>13.032864444444444</v>
      </c>
    </row>
    <row r="288" spans="1:12" x14ac:dyDescent="0.3">
      <c r="A288" s="8" t="s">
        <v>23</v>
      </c>
      <c r="B288" s="11">
        <v>250</v>
      </c>
      <c r="C288" s="11" t="s">
        <v>5</v>
      </c>
      <c r="D288" s="11">
        <v>6</v>
      </c>
      <c r="E288" s="20">
        <v>16.14</v>
      </c>
      <c r="F288" s="11" t="s">
        <v>13</v>
      </c>
      <c r="G288" s="11" t="s">
        <v>16</v>
      </c>
      <c r="H288" s="12">
        <v>46630</v>
      </c>
      <c r="I288" s="11">
        <v>672</v>
      </c>
      <c r="J288" s="13">
        <v>784</v>
      </c>
      <c r="K288" t="str">
        <f t="shared" si="4"/>
        <v>DE250-SDR26</v>
      </c>
      <c r="L288" s="1">
        <f>VLOOKUP(K288,'[1]Tarif - Evolution Marché'!$F:$I,4,0)</f>
        <v>16.138009999999998</v>
      </c>
    </row>
    <row r="289" spans="1:12" x14ac:dyDescent="0.3">
      <c r="A289" s="14" t="s">
        <v>23</v>
      </c>
      <c r="B289" s="15">
        <v>280</v>
      </c>
      <c r="C289" s="15" t="s">
        <v>5</v>
      </c>
      <c r="D289" s="15">
        <v>6</v>
      </c>
      <c r="E289" s="20">
        <v>20.12</v>
      </c>
      <c r="F289" s="15" t="s">
        <v>13</v>
      </c>
      <c r="G289" s="15" t="s">
        <v>16</v>
      </c>
      <c r="H289" s="17">
        <v>46630</v>
      </c>
      <c r="I289" s="15">
        <v>672</v>
      </c>
      <c r="J289" s="18">
        <v>784</v>
      </c>
      <c r="K289" t="str">
        <f t="shared" si="4"/>
        <v>DE280-SDR26</v>
      </c>
      <c r="L289" s="1">
        <f>VLOOKUP(K289,'[1]Tarif - Evolution Marché'!$F:$I,4,0)</f>
        <v>20.11784444444444</v>
      </c>
    </row>
    <row r="290" spans="1:12" x14ac:dyDescent="0.3">
      <c r="A290" s="8" t="s">
        <v>23</v>
      </c>
      <c r="B290" s="11">
        <v>315</v>
      </c>
      <c r="C290" s="11" t="s">
        <v>5</v>
      </c>
      <c r="D290" s="11">
        <v>6</v>
      </c>
      <c r="E290" s="20">
        <v>25.58</v>
      </c>
      <c r="F290" s="11" t="s">
        <v>13</v>
      </c>
      <c r="G290" s="11" t="s">
        <v>16</v>
      </c>
      <c r="H290" s="12">
        <v>46630</v>
      </c>
      <c r="I290" s="11">
        <v>432</v>
      </c>
      <c r="J290" s="13">
        <v>504</v>
      </c>
      <c r="K290" t="str">
        <f t="shared" si="4"/>
        <v>DE315-SDR26</v>
      </c>
      <c r="L290" s="1">
        <f>VLOOKUP(K290,'[1]Tarif - Evolution Marché'!$F:$I,4,0)</f>
        <v>25.584649999999996</v>
      </c>
    </row>
    <row r="291" spans="1:12" x14ac:dyDescent="0.3">
      <c r="A291" s="14" t="s">
        <v>23</v>
      </c>
      <c r="B291" s="15">
        <v>355</v>
      </c>
      <c r="C291" s="15" t="s">
        <v>5</v>
      </c>
      <c r="D291" s="15">
        <v>6</v>
      </c>
      <c r="E291" s="20">
        <v>32.36</v>
      </c>
      <c r="F291" s="15" t="s">
        <v>13</v>
      </c>
      <c r="G291" s="15" t="s">
        <v>16</v>
      </c>
      <c r="H291" s="17">
        <v>46630</v>
      </c>
      <c r="I291" s="15">
        <v>360</v>
      </c>
      <c r="J291" s="18">
        <v>420</v>
      </c>
      <c r="K291" t="str">
        <f t="shared" si="4"/>
        <v>DE355-SDR26</v>
      </c>
      <c r="L291" s="1">
        <f>VLOOKUP(K291,'[1]Tarif - Evolution Marché'!$F:$I,4,0)</f>
        <v>32.363488888888888</v>
      </c>
    </row>
    <row r="292" spans="1:12" x14ac:dyDescent="0.3">
      <c r="A292" s="8" t="s">
        <v>23</v>
      </c>
      <c r="B292" s="11">
        <v>400</v>
      </c>
      <c r="C292" s="11" t="s">
        <v>5</v>
      </c>
      <c r="D292" s="11">
        <v>6</v>
      </c>
      <c r="E292" s="20">
        <v>41.11</v>
      </c>
      <c r="F292" s="11" t="s">
        <v>13</v>
      </c>
      <c r="G292" s="11" t="s">
        <v>16</v>
      </c>
      <c r="H292" s="12">
        <v>46630</v>
      </c>
      <c r="I292" s="11">
        <v>360</v>
      </c>
      <c r="J292" s="13">
        <v>420</v>
      </c>
      <c r="K292" t="str">
        <f t="shared" si="4"/>
        <v>DE400-SDR26</v>
      </c>
      <c r="L292" s="1">
        <f>VLOOKUP(K292,'[1]Tarif - Evolution Marché'!$F:$I,4,0)</f>
        <v>41.110377777777778</v>
      </c>
    </row>
    <row r="293" spans="1:12" x14ac:dyDescent="0.3">
      <c r="A293" s="14" t="s">
        <v>23</v>
      </c>
      <c r="B293" s="15">
        <v>450</v>
      </c>
      <c r="C293" s="15" t="s">
        <v>5</v>
      </c>
      <c r="D293" s="15">
        <v>6</v>
      </c>
      <c r="E293" s="20">
        <v>51.83</v>
      </c>
      <c r="F293" s="15" t="s">
        <v>13</v>
      </c>
      <c r="G293" s="15" t="s">
        <v>16</v>
      </c>
      <c r="H293" s="17">
        <v>46630</v>
      </c>
      <c r="I293" s="15">
        <v>192</v>
      </c>
      <c r="J293" s="18">
        <v>224</v>
      </c>
      <c r="K293" t="str">
        <f t="shared" si="4"/>
        <v>DE450-SDR26</v>
      </c>
      <c r="L293" s="1">
        <f>VLOOKUP(K293,'[1]Tarif - Evolution Marché'!$F:$I,4,0)</f>
        <v>51.825316666666659</v>
      </c>
    </row>
    <row r="294" spans="1:12" x14ac:dyDescent="0.3">
      <c r="A294" s="8" t="s">
        <v>23</v>
      </c>
      <c r="B294" s="11">
        <v>500</v>
      </c>
      <c r="C294" s="11" t="s">
        <v>5</v>
      </c>
      <c r="D294" s="11">
        <v>6</v>
      </c>
      <c r="E294" s="20">
        <v>63.85</v>
      </c>
      <c r="F294" s="11" t="s">
        <v>13</v>
      </c>
      <c r="G294" s="11" t="s">
        <v>16</v>
      </c>
      <c r="H294" s="12">
        <v>46630</v>
      </c>
      <c r="I294" s="11">
        <v>192</v>
      </c>
      <c r="J294" s="13">
        <v>224</v>
      </c>
      <c r="K294" t="str">
        <f t="shared" si="4"/>
        <v>DE500-SDR26</v>
      </c>
      <c r="L294" s="1">
        <f>VLOOKUP(K294,'[1]Tarif - Evolution Marché'!$F:$I,4,0)</f>
        <v>63.852288888888879</v>
      </c>
    </row>
    <row r="295" spans="1:12" x14ac:dyDescent="0.3">
      <c r="A295" s="14" t="s">
        <v>23</v>
      </c>
      <c r="B295" s="15">
        <v>560</v>
      </c>
      <c r="C295" s="15" t="s">
        <v>5</v>
      </c>
      <c r="D295" s="15">
        <v>6</v>
      </c>
      <c r="E295" s="20">
        <v>80.03</v>
      </c>
      <c r="F295" s="15" t="s">
        <v>13</v>
      </c>
      <c r="G295" s="15" t="s">
        <v>16</v>
      </c>
      <c r="H295" s="17">
        <v>46630</v>
      </c>
      <c r="I295" s="15">
        <v>192</v>
      </c>
      <c r="J295" s="18">
        <v>224</v>
      </c>
      <c r="K295" t="str">
        <f t="shared" si="4"/>
        <v>DE560-SDR26</v>
      </c>
      <c r="L295" s="1">
        <f>VLOOKUP(K295,'[1]Tarif - Evolution Marché'!$F:$I,4,0)</f>
        <v>80.034033333333326</v>
      </c>
    </row>
    <row r="296" spans="1:12" x14ac:dyDescent="0.3">
      <c r="A296" s="8" t="s">
        <v>23</v>
      </c>
      <c r="B296" s="11">
        <v>630</v>
      </c>
      <c r="C296" s="11" t="s">
        <v>5</v>
      </c>
      <c r="D296" s="11">
        <v>6</v>
      </c>
      <c r="E296" s="20">
        <v>101.46</v>
      </c>
      <c r="F296" s="11" t="s">
        <v>13</v>
      </c>
      <c r="G296" s="11" t="s">
        <v>16</v>
      </c>
      <c r="H296" s="12">
        <v>46630</v>
      </c>
      <c r="I296" s="11">
        <v>108</v>
      </c>
      <c r="J296" s="13">
        <v>126</v>
      </c>
      <c r="K296" t="str">
        <f t="shared" si="4"/>
        <v>DE630-SDR26</v>
      </c>
      <c r="L296" s="1">
        <f>VLOOKUP(K296,'[1]Tarif - Evolution Marché'!$F:$I,4,0)</f>
        <v>101.4639111111111</v>
      </c>
    </row>
    <row r="297" spans="1:12" x14ac:dyDescent="0.3">
      <c r="A297" s="14" t="s">
        <v>23</v>
      </c>
      <c r="B297" s="15">
        <v>710</v>
      </c>
      <c r="C297" s="15" t="s">
        <v>5</v>
      </c>
      <c r="D297" s="15">
        <v>6</v>
      </c>
      <c r="E297" s="20">
        <v>129.02000000000001</v>
      </c>
      <c r="F297" s="15" t="s">
        <v>13</v>
      </c>
      <c r="G297" s="15" t="s">
        <v>16</v>
      </c>
      <c r="H297" s="17">
        <v>46630</v>
      </c>
      <c r="I297" s="15">
        <v>108</v>
      </c>
      <c r="J297" s="18">
        <v>126</v>
      </c>
      <c r="K297" t="str">
        <f t="shared" si="4"/>
        <v>DE710-SDR26</v>
      </c>
      <c r="L297" s="1">
        <f>VLOOKUP(K297,'[1]Tarif - Evolution Marché'!$F:$I,4,0)</f>
        <v>129.0166111111111</v>
      </c>
    </row>
    <row r="298" spans="1:12" x14ac:dyDescent="0.3">
      <c r="A298" s="8" t="s">
        <v>23</v>
      </c>
      <c r="B298" s="11">
        <v>800</v>
      </c>
      <c r="C298" s="11" t="s">
        <v>5</v>
      </c>
      <c r="D298" s="11">
        <v>6</v>
      </c>
      <c r="E298" s="20">
        <v>163.35</v>
      </c>
      <c r="F298" s="11" t="s">
        <v>13</v>
      </c>
      <c r="G298" s="11" t="s">
        <v>16</v>
      </c>
      <c r="H298" s="12">
        <v>46630</v>
      </c>
      <c r="I298" s="11">
        <v>108</v>
      </c>
      <c r="J298" s="13">
        <v>126</v>
      </c>
      <c r="K298" t="str">
        <f t="shared" si="4"/>
        <v>DE800-SDR26</v>
      </c>
      <c r="L298" s="1">
        <f>VLOOKUP(K298,'[1]Tarif - Evolution Marché'!$F:$I,4,0)</f>
        <v>163.34815</v>
      </c>
    </row>
    <row r="299" spans="1:12" x14ac:dyDescent="0.3">
      <c r="A299" s="14" t="s">
        <v>23</v>
      </c>
      <c r="B299" s="15">
        <v>900</v>
      </c>
      <c r="C299" s="15" t="s">
        <v>5</v>
      </c>
      <c r="D299" s="15">
        <v>6</v>
      </c>
      <c r="E299" s="20">
        <v>206.43</v>
      </c>
      <c r="F299" s="15" t="s">
        <v>13</v>
      </c>
      <c r="G299" s="15" t="s">
        <v>16</v>
      </c>
      <c r="H299" s="17">
        <v>46630</v>
      </c>
      <c r="I299" s="15">
        <v>72</v>
      </c>
      <c r="J299" s="18">
        <v>84</v>
      </c>
      <c r="K299" t="str">
        <f t="shared" si="4"/>
        <v>DE900-SDR26</v>
      </c>
      <c r="L299" s="1">
        <f>VLOOKUP(K299,'[1]Tarif - Evolution Marché'!$F:$I,4,0)</f>
        <v>206.42657777777777</v>
      </c>
    </row>
    <row r="300" spans="1:12" x14ac:dyDescent="0.3">
      <c r="A300" s="8" t="s">
        <v>23</v>
      </c>
      <c r="B300" s="11">
        <v>1000</v>
      </c>
      <c r="C300" s="11" t="s">
        <v>5</v>
      </c>
      <c r="D300" s="11">
        <v>6</v>
      </c>
      <c r="E300" s="20">
        <v>255.85</v>
      </c>
      <c r="F300" s="11" t="s">
        <v>13</v>
      </c>
      <c r="G300" s="11" t="s">
        <v>16</v>
      </c>
      <c r="H300" s="12">
        <v>46630</v>
      </c>
      <c r="I300" s="11">
        <v>48</v>
      </c>
      <c r="J300" s="13">
        <v>56</v>
      </c>
      <c r="K300" t="str">
        <f t="shared" si="4"/>
        <v>DE1000-SDR26</v>
      </c>
      <c r="L300" s="1">
        <f>VLOOKUP(K300,'[1]Tarif - Evolution Marché'!$F:$I,4,0)</f>
        <v>255.84649999999996</v>
      </c>
    </row>
    <row r="301" spans="1:12" x14ac:dyDescent="0.3">
      <c r="A301" s="14" t="s">
        <v>23</v>
      </c>
      <c r="B301" s="15">
        <v>1200</v>
      </c>
      <c r="C301" s="15" t="s">
        <v>5</v>
      </c>
      <c r="D301" s="15">
        <v>6</v>
      </c>
      <c r="E301" s="20">
        <v>367.37</v>
      </c>
      <c r="F301" s="15" t="s">
        <v>13</v>
      </c>
      <c r="G301" s="15" t="s">
        <v>16</v>
      </c>
      <c r="H301" s="17">
        <v>46630</v>
      </c>
      <c r="I301" s="15">
        <v>36</v>
      </c>
      <c r="J301" s="18">
        <v>42</v>
      </c>
      <c r="K301" t="str">
        <f t="shared" si="4"/>
        <v>DE1200-SDR26</v>
      </c>
      <c r="L301" s="1">
        <f>VLOOKUP(K301,'[1]Tarif - Evolution Marché'!$F:$I,4,0)</f>
        <v>367.36933333333332</v>
      </c>
    </row>
    <row r="302" spans="1:12" x14ac:dyDescent="0.3">
      <c r="A302" s="8" t="s">
        <v>23</v>
      </c>
      <c r="B302" s="11">
        <v>40</v>
      </c>
      <c r="C302" s="11" t="s">
        <v>6</v>
      </c>
      <c r="D302" s="11">
        <v>8</v>
      </c>
      <c r="E302" s="20">
        <v>0.55000000000000004</v>
      </c>
      <c r="F302" s="11" t="s">
        <v>13</v>
      </c>
      <c r="G302" s="11" t="s">
        <v>16</v>
      </c>
      <c r="H302" s="12">
        <v>46630</v>
      </c>
      <c r="I302" s="12"/>
      <c r="J302" s="13"/>
      <c r="K302" t="str">
        <f t="shared" si="4"/>
        <v>DE40-SDR21</v>
      </c>
      <c r="L302" s="1">
        <f>VLOOKUP(K302,'[1]Tarif - Evolution Marché'!$F:$I,4,0)</f>
        <v>0.54886727777777777</v>
      </c>
    </row>
    <row r="303" spans="1:12" x14ac:dyDescent="0.3">
      <c r="A303" s="14" t="s">
        <v>23</v>
      </c>
      <c r="B303" s="15">
        <v>50</v>
      </c>
      <c r="C303" s="15" t="s">
        <v>6</v>
      </c>
      <c r="D303" s="15">
        <v>8</v>
      </c>
      <c r="E303" s="20">
        <v>0.83</v>
      </c>
      <c r="F303" s="15" t="s">
        <v>13</v>
      </c>
      <c r="G303" s="15" t="s">
        <v>16</v>
      </c>
      <c r="H303" s="17">
        <v>46630</v>
      </c>
      <c r="I303" s="17"/>
      <c r="J303" s="18"/>
      <c r="K303" t="str">
        <f t="shared" si="4"/>
        <v>DE50-SDR21</v>
      </c>
      <c r="L303" s="1">
        <f>VLOOKUP(K303,'[1]Tarif - Evolution Marché'!$F:$I,4,0)</f>
        <v>0.8265809999999999</v>
      </c>
    </row>
    <row r="304" spans="1:12" x14ac:dyDescent="0.3">
      <c r="A304" s="8" t="s">
        <v>23</v>
      </c>
      <c r="B304" s="11">
        <v>63</v>
      </c>
      <c r="C304" s="11" t="s">
        <v>6</v>
      </c>
      <c r="D304" s="11">
        <v>8</v>
      </c>
      <c r="E304" s="20">
        <v>1.28</v>
      </c>
      <c r="F304" s="11" t="s">
        <v>13</v>
      </c>
      <c r="G304" s="11" t="s">
        <v>16</v>
      </c>
      <c r="H304" s="12">
        <v>46630</v>
      </c>
      <c r="I304" s="12"/>
      <c r="J304" s="13"/>
      <c r="K304" t="str">
        <f t="shared" si="4"/>
        <v>DE63-SDR21</v>
      </c>
      <c r="L304" s="1">
        <f>VLOOKUP(K304,'[1]Tarif - Evolution Marché'!$F:$I,4,0)</f>
        <v>1.281419222222222</v>
      </c>
    </row>
    <row r="305" spans="1:12" x14ac:dyDescent="0.3">
      <c r="A305" s="14" t="s">
        <v>23</v>
      </c>
      <c r="B305" s="15">
        <v>75</v>
      </c>
      <c r="C305" s="15" t="s">
        <v>6</v>
      </c>
      <c r="D305" s="15">
        <v>8</v>
      </c>
      <c r="E305" s="20">
        <v>1.83</v>
      </c>
      <c r="F305" s="15" t="s">
        <v>13</v>
      </c>
      <c r="G305" s="15" t="s">
        <v>16</v>
      </c>
      <c r="H305" s="17">
        <v>46630</v>
      </c>
      <c r="I305" s="17"/>
      <c r="J305" s="18"/>
      <c r="K305" t="str">
        <f t="shared" si="4"/>
        <v>DE75-SDR21</v>
      </c>
      <c r="L305" s="1">
        <f>VLOOKUP(K305,'[1]Tarif - Evolution Marché'!$F:$I,4,0)</f>
        <v>1.8280997777777774</v>
      </c>
    </row>
    <row r="306" spans="1:12" x14ac:dyDescent="0.3">
      <c r="A306" s="8" t="s">
        <v>23</v>
      </c>
      <c r="B306" s="11">
        <v>90</v>
      </c>
      <c r="C306" s="11" t="s">
        <v>6</v>
      </c>
      <c r="D306" s="11">
        <v>8</v>
      </c>
      <c r="E306" s="20">
        <v>2.62</v>
      </c>
      <c r="F306" s="11" t="s">
        <v>13</v>
      </c>
      <c r="G306" s="11" t="s">
        <v>16</v>
      </c>
      <c r="H306" s="12">
        <v>46630</v>
      </c>
      <c r="I306" s="12"/>
      <c r="J306" s="13"/>
      <c r="K306" t="str">
        <f t="shared" si="4"/>
        <v>DE90-SDR21</v>
      </c>
      <c r="L306" s="1">
        <f>VLOOKUP(K306,'[1]Tarif - Evolution Marché'!$F:$I,4,0)</f>
        <v>2.6240666666666663</v>
      </c>
    </row>
    <row r="307" spans="1:12" x14ac:dyDescent="0.3">
      <c r="A307" s="14" t="s">
        <v>23</v>
      </c>
      <c r="B307" s="15">
        <v>110</v>
      </c>
      <c r="C307" s="15" t="s">
        <v>6</v>
      </c>
      <c r="D307" s="15">
        <v>8</v>
      </c>
      <c r="E307" s="20">
        <v>3.91</v>
      </c>
      <c r="F307" s="15" t="s">
        <v>13</v>
      </c>
      <c r="G307" s="15" t="s">
        <v>16</v>
      </c>
      <c r="H307" s="17">
        <v>46630</v>
      </c>
      <c r="I307" s="17"/>
      <c r="J307" s="18"/>
      <c r="K307" t="str">
        <f t="shared" si="4"/>
        <v>DE110-SDR21</v>
      </c>
      <c r="L307" s="1">
        <f>VLOOKUP(K307,'[1]Tarif - Evolution Marché'!$F:$I,4,0)</f>
        <v>3.9142327777777775</v>
      </c>
    </row>
    <row r="308" spans="1:12" x14ac:dyDescent="0.3">
      <c r="A308" s="8" t="s">
        <v>23</v>
      </c>
      <c r="B308" s="11">
        <v>125</v>
      </c>
      <c r="C308" s="11" t="s">
        <v>6</v>
      </c>
      <c r="D308" s="11">
        <v>8</v>
      </c>
      <c r="E308" s="20">
        <v>5.01</v>
      </c>
      <c r="F308" s="11" t="s">
        <v>13</v>
      </c>
      <c r="G308" s="11" t="s">
        <v>16</v>
      </c>
      <c r="H308" s="12">
        <v>46630</v>
      </c>
      <c r="I308" s="11">
        <v>2400</v>
      </c>
      <c r="J308" s="13">
        <v>2800</v>
      </c>
      <c r="K308" t="str">
        <f t="shared" si="4"/>
        <v>DE125-SDR21</v>
      </c>
      <c r="L308" s="1">
        <f>VLOOKUP(K308,'[1]Tarif - Evolution Marché'!$F:$I,4,0)</f>
        <v>5.0075938888888887</v>
      </c>
    </row>
    <row r="309" spans="1:12" x14ac:dyDescent="0.3">
      <c r="A309" s="14" t="s">
        <v>23</v>
      </c>
      <c r="B309" s="15">
        <v>140</v>
      </c>
      <c r="C309" s="15" t="s">
        <v>6</v>
      </c>
      <c r="D309" s="15">
        <v>8</v>
      </c>
      <c r="E309" s="20">
        <v>6.25</v>
      </c>
      <c r="F309" s="15" t="s">
        <v>13</v>
      </c>
      <c r="G309" s="15" t="s">
        <v>16</v>
      </c>
      <c r="H309" s="17">
        <v>46630</v>
      </c>
      <c r="I309" s="15">
        <v>1920</v>
      </c>
      <c r="J309" s="18">
        <v>2240</v>
      </c>
      <c r="K309" t="str">
        <f t="shared" si="4"/>
        <v>DE140-SDR21</v>
      </c>
      <c r="L309" s="1">
        <f>VLOOKUP(K309,'[1]Tarif - Evolution Marché'!$F:$I,4,0)</f>
        <v>6.2540255555555548</v>
      </c>
    </row>
    <row r="310" spans="1:12" x14ac:dyDescent="0.3">
      <c r="A310" s="8" t="s">
        <v>23</v>
      </c>
      <c r="B310" s="11">
        <v>160</v>
      </c>
      <c r="C310" s="11" t="s">
        <v>6</v>
      </c>
      <c r="D310" s="11">
        <v>8</v>
      </c>
      <c r="E310" s="20">
        <v>8.1999999999999993</v>
      </c>
      <c r="F310" s="11" t="s">
        <v>13</v>
      </c>
      <c r="G310" s="11" t="s">
        <v>16</v>
      </c>
      <c r="H310" s="12">
        <v>46630</v>
      </c>
      <c r="I310" s="11">
        <v>1920</v>
      </c>
      <c r="J310" s="13">
        <v>2240</v>
      </c>
      <c r="K310" t="str">
        <f t="shared" si="4"/>
        <v>DE160-SDR21</v>
      </c>
      <c r="L310" s="1">
        <f>VLOOKUP(K310,'[1]Tarif - Evolution Marché'!$F:$I,4,0)</f>
        <v>8.2002083333333324</v>
      </c>
    </row>
    <row r="311" spans="1:12" x14ac:dyDescent="0.3">
      <c r="A311" s="14" t="s">
        <v>23</v>
      </c>
      <c r="B311" s="15">
        <v>180</v>
      </c>
      <c r="C311" s="15" t="s">
        <v>6</v>
      </c>
      <c r="D311" s="15">
        <v>8</v>
      </c>
      <c r="E311" s="20">
        <v>10.3</v>
      </c>
      <c r="F311" s="15" t="s">
        <v>13</v>
      </c>
      <c r="G311" s="15" t="s">
        <v>16</v>
      </c>
      <c r="H311" s="17">
        <v>46630</v>
      </c>
      <c r="I311" s="15">
        <v>1200</v>
      </c>
      <c r="J311" s="18">
        <v>1400</v>
      </c>
      <c r="K311" t="str">
        <f t="shared" si="4"/>
        <v>DE180-SDR21</v>
      </c>
      <c r="L311" s="1">
        <f>VLOOKUP(K311,'[1]Tarif - Evolution Marché'!$F:$I,4,0)</f>
        <v>10.299461666666666</v>
      </c>
    </row>
    <row r="312" spans="1:12" x14ac:dyDescent="0.3">
      <c r="A312" s="8" t="s">
        <v>23</v>
      </c>
      <c r="B312" s="11">
        <v>200</v>
      </c>
      <c r="C312" s="11" t="s">
        <v>6</v>
      </c>
      <c r="D312" s="11">
        <v>8</v>
      </c>
      <c r="E312" s="20">
        <v>12.77</v>
      </c>
      <c r="F312" s="11" t="s">
        <v>13</v>
      </c>
      <c r="G312" s="11" t="s">
        <v>16</v>
      </c>
      <c r="H312" s="12">
        <v>46630</v>
      </c>
      <c r="I312" s="11">
        <v>960</v>
      </c>
      <c r="J312" s="13">
        <v>1120</v>
      </c>
      <c r="K312" t="str">
        <f t="shared" si="4"/>
        <v>DE200-SDR21</v>
      </c>
      <c r="L312" s="1">
        <f>VLOOKUP(K312,'[1]Tarif - Evolution Marché'!$F:$I,4,0)</f>
        <v>12.770457777777777</v>
      </c>
    </row>
    <row r="313" spans="1:12" x14ac:dyDescent="0.3">
      <c r="A313" s="14" t="s">
        <v>23</v>
      </c>
      <c r="B313" s="15">
        <v>225</v>
      </c>
      <c r="C313" s="15" t="s">
        <v>6</v>
      </c>
      <c r="D313" s="15">
        <v>8</v>
      </c>
      <c r="E313" s="20">
        <v>16.12</v>
      </c>
      <c r="F313" s="15" t="s">
        <v>13</v>
      </c>
      <c r="G313" s="15" t="s">
        <v>16</v>
      </c>
      <c r="H313" s="17">
        <v>46630</v>
      </c>
      <c r="I313" s="15">
        <v>960</v>
      </c>
      <c r="J313" s="18">
        <v>1120</v>
      </c>
      <c r="K313" t="str">
        <f t="shared" si="4"/>
        <v>DE225-SDR21</v>
      </c>
      <c r="L313" s="1">
        <f>VLOOKUP(K313,'[1]Tarif - Evolution Marché'!$F:$I,4,0)</f>
        <v>16.116142777777778</v>
      </c>
    </row>
    <row r="314" spans="1:12" x14ac:dyDescent="0.3">
      <c r="A314" s="8" t="s">
        <v>23</v>
      </c>
      <c r="B314" s="11">
        <v>250</v>
      </c>
      <c r="C314" s="11" t="s">
        <v>6</v>
      </c>
      <c r="D314" s="11">
        <v>8</v>
      </c>
      <c r="E314" s="20">
        <v>19.72</v>
      </c>
      <c r="F314" s="11" t="s">
        <v>13</v>
      </c>
      <c r="G314" s="11" t="s">
        <v>16</v>
      </c>
      <c r="H314" s="12">
        <v>46630</v>
      </c>
      <c r="I314" s="11">
        <v>672</v>
      </c>
      <c r="J314" s="13">
        <v>784</v>
      </c>
      <c r="K314" t="str">
        <f t="shared" si="4"/>
        <v>DE250-SDR21</v>
      </c>
      <c r="L314" s="1">
        <f>VLOOKUP(K314,'[1]Tarif - Evolution Marché'!$F:$I,4,0)</f>
        <v>19.724234444444441</v>
      </c>
    </row>
    <row r="315" spans="1:12" x14ac:dyDescent="0.3">
      <c r="A315" s="14" t="s">
        <v>23</v>
      </c>
      <c r="B315" s="15">
        <v>280</v>
      </c>
      <c r="C315" s="15" t="s">
        <v>6</v>
      </c>
      <c r="D315" s="15">
        <v>8</v>
      </c>
      <c r="E315" s="20">
        <v>24.93</v>
      </c>
      <c r="F315" s="15" t="s">
        <v>13</v>
      </c>
      <c r="G315" s="15" t="s">
        <v>16</v>
      </c>
      <c r="H315" s="17">
        <v>46630</v>
      </c>
      <c r="I315" s="15">
        <v>672</v>
      </c>
      <c r="J315" s="18">
        <v>784</v>
      </c>
      <c r="K315" t="str">
        <f t="shared" si="4"/>
        <v>DE280-SDR21</v>
      </c>
      <c r="L315" s="1">
        <f>VLOOKUP(K315,'[1]Tarif - Evolution Marché'!$F:$I,4,0)</f>
        <v>24.92863333333333</v>
      </c>
    </row>
    <row r="316" spans="1:12" x14ac:dyDescent="0.3">
      <c r="A316" s="8" t="s">
        <v>23</v>
      </c>
      <c r="B316" s="11">
        <v>315</v>
      </c>
      <c r="C316" s="11" t="s">
        <v>6</v>
      </c>
      <c r="D316" s="11">
        <v>8</v>
      </c>
      <c r="E316" s="20">
        <v>31.27</v>
      </c>
      <c r="F316" s="11" t="s">
        <v>13</v>
      </c>
      <c r="G316" s="11" t="s">
        <v>16</v>
      </c>
      <c r="H316" s="12">
        <v>46630</v>
      </c>
      <c r="I316" s="11">
        <v>432</v>
      </c>
      <c r="J316" s="13">
        <v>504</v>
      </c>
      <c r="K316" t="str">
        <f t="shared" si="4"/>
        <v>DE315-SDR21</v>
      </c>
      <c r="L316" s="1">
        <f>VLOOKUP(K316,'[1]Tarif - Evolution Marché'!$F:$I,4,0)</f>
        <v>31.270127777777777</v>
      </c>
    </row>
    <row r="317" spans="1:12" x14ac:dyDescent="0.3">
      <c r="A317" s="14" t="s">
        <v>23</v>
      </c>
      <c r="B317" s="15">
        <v>355</v>
      </c>
      <c r="C317" s="15" t="s">
        <v>6</v>
      </c>
      <c r="D317" s="15">
        <v>8</v>
      </c>
      <c r="E317" s="20">
        <v>39.799999999999997</v>
      </c>
      <c r="F317" s="15" t="s">
        <v>13</v>
      </c>
      <c r="G317" s="15" t="s">
        <v>16</v>
      </c>
      <c r="H317" s="17">
        <v>46630</v>
      </c>
      <c r="I317" s="15">
        <v>360</v>
      </c>
      <c r="J317" s="18">
        <v>420</v>
      </c>
      <c r="K317" t="str">
        <f t="shared" si="4"/>
        <v>DE355-SDR21</v>
      </c>
      <c r="L317" s="1">
        <f>VLOOKUP(K317,'[1]Tarif - Evolution Marché'!$F:$I,4,0)</f>
        <v>39.798344444444439</v>
      </c>
    </row>
    <row r="318" spans="1:12" x14ac:dyDescent="0.3">
      <c r="A318" s="8" t="s">
        <v>23</v>
      </c>
      <c r="B318" s="11">
        <v>400</v>
      </c>
      <c r="C318" s="11" t="s">
        <v>6</v>
      </c>
      <c r="D318" s="11">
        <v>8</v>
      </c>
      <c r="E318" s="20">
        <v>50.51</v>
      </c>
      <c r="F318" s="11" t="s">
        <v>13</v>
      </c>
      <c r="G318" s="11" t="s">
        <v>16</v>
      </c>
      <c r="H318" s="12">
        <v>46630</v>
      </c>
      <c r="I318" s="11">
        <v>360</v>
      </c>
      <c r="J318" s="13">
        <v>420</v>
      </c>
      <c r="K318" t="str">
        <f t="shared" si="4"/>
        <v>DE400-SDR21</v>
      </c>
      <c r="L318" s="1">
        <f>VLOOKUP(K318,'[1]Tarif - Evolution Marché'!$F:$I,4,0)</f>
        <v>50.513283333333334</v>
      </c>
    </row>
    <row r="319" spans="1:12" x14ac:dyDescent="0.3">
      <c r="A319" s="14" t="s">
        <v>23</v>
      </c>
      <c r="B319" s="15">
        <v>450</v>
      </c>
      <c r="C319" s="15" t="s">
        <v>6</v>
      </c>
      <c r="D319" s="15">
        <v>8</v>
      </c>
      <c r="E319" s="20">
        <v>64.069999999999993</v>
      </c>
      <c r="F319" s="15" t="s">
        <v>13</v>
      </c>
      <c r="G319" s="15" t="s">
        <v>16</v>
      </c>
      <c r="H319" s="17">
        <v>46630</v>
      </c>
      <c r="I319" s="15">
        <v>192</v>
      </c>
      <c r="J319" s="18">
        <v>224</v>
      </c>
      <c r="K319" t="str">
        <f t="shared" si="4"/>
        <v>DE450-SDR21</v>
      </c>
      <c r="L319" s="1">
        <f>VLOOKUP(K319,'[1]Tarif - Evolution Marché'!$F:$I,4,0)</f>
        <v>64.070961111111103</v>
      </c>
    </row>
    <row r="320" spans="1:12" x14ac:dyDescent="0.3">
      <c r="A320" s="8" t="s">
        <v>23</v>
      </c>
      <c r="B320" s="11">
        <v>500</v>
      </c>
      <c r="C320" s="11" t="s">
        <v>6</v>
      </c>
      <c r="D320" s="11">
        <v>8</v>
      </c>
      <c r="E320" s="20">
        <v>78.94</v>
      </c>
      <c r="F320" s="11" t="s">
        <v>13</v>
      </c>
      <c r="G320" s="11" t="s">
        <v>16</v>
      </c>
      <c r="H320" s="12">
        <v>46630</v>
      </c>
      <c r="I320" s="11">
        <v>192</v>
      </c>
      <c r="J320" s="13">
        <v>224</v>
      </c>
      <c r="K320" t="str">
        <f t="shared" si="4"/>
        <v>DE500-SDR21</v>
      </c>
      <c r="L320" s="1">
        <f>VLOOKUP(K320,'[1]Tarif - Evolution Marché'!$F:$I,4,0)</f>
        <v>78.940672222222219</v>
      </c>
    </row>
    <row r="321" spans="1:12" x14ac:dyDescent="0.3">
      <c r="A321" s="14" t="s">
        <v>23</v>
      </c>
      <c r="B321" s="15">
        <v>560</v>
      </c>
      <c r="C321" s="15" t="s">
        <v>6</v>
      </c>
      <c r="D321" s="15">
        <v>8</v>
      </c>
      <c r="E321" s="20">
        <v>98.84</v>
      </c>
      <c r="F321" s="15" t="s">
        <v>13</v>
      </c>
      <c r="G321" s="15" t="s">
        <v>16</v>
      </c>
      <c r="H321" s="17">
        <v>46630</v>
      </c>
      <c r="I321" s="15">
        <v>192</v>
      </c>
      <c r="J321" s="18">
        <v>224</v>
      </c>
      <c r="K321" t="str">
        <f t="shared" si="4"/>
        <v>DE560-SDR21</v>
      </c>
      <c r="L321" s="1">
        <f>VLOOKUP(K321,'[1]Tarif - Evolution Marché'!$F:$I,4,0)</f>
        <v>98.839844444444438</v>
      </c>
    </row>
    <row r="322" spans="1:12" x14ac:dyDescent="0.3">
      <c r="A322" s="8" t="s">
        <v>23</v>
      </c>
      <c r="B322" s="11">
        <v>630</v>
      </c>
      <c r="C322" s="11" t="s">
        <v>6</v>
      </c>
      <c r="D322" s="11">
        <v>8</v>
      </c>
      <c r="E322" s="20">
        <v>124.64</v>
      </c>
      <c r="F322" s="11" t="s">
        <v>13</v>
      </c>
      <c r="G322" s="11" t="s">
        <v>16</v>
      </c>
      <c r="H322" s="12">
        <v>46630</v>
      </c>
      <c r="I322" s="11">
        <v>108</v>
      </c>
      <c r="J322" s="13">
        <v>126</v>
      </c>
      <c r="K322" t="str">
        <f t="shared" si="4"/>
        <v>DE630-SDR21</v>
      </c>
      <c r="L322" s="1">
        <f>VLOOKUP(K322,'[1]Tarif - Evolution Marché'!$F:$I,4,0)</f>
        <v>124.64316666666666</v>
      </c>
    </row>
    <row r="323" spans="1:12" x14ac:dyDescent="0.3">
      <c r="A323" s="14" t="s">
        <v>23</v>
      </c>
      <c r="B323" s="15">
        <v>710</v>
      </c>
      <c r="C323" s="15" t="s">
        <v>6</v>
      </c>
      <c r="D323" s="15">
        <v>8</v>
      </c>
      <c r="E323" s="20">
        <v>158.76</v>
      </c>
      <c r="F323" s="15" t="s">
        <v>13</v>
      </c>
      <c r="G323" s="15" t="s">
        <v>16</v>
      </c>
      <c r="H323" s="17">
        <v>46630</v>
      </c>
      <c r="I323" s="15">
        <v>108</v>
      </c>
      <c r="J323" s="18">
        <v>126</v>
      </c>
      <c r="K323" t="str">
        <f t="shared" ref="K323:K386" si="5">CONCATENATE("DE",B323,"-",C323)</f>
        <v>DE710-SDR21</v>
      </c>
      <c r="L323" s="1">
        <f>VLOOKUP(K323,'[1]Tarif - Evolution Marché'!$F:$I,4,0)</f>
        <v>158.75603333333331</v>
      </c>
    </row>
    <row r="324" spans="1:12" x14ac:dyDescent="0.3">
      <c r="A324" s="8" t="s">
        <v>23</v>
      </c>
      <c r="B324" s="11">
        <v>800</v>
      </c>
      <c r="C324" s="11" t="s">
        <v>6</v>
      </c>
      <c r="D324" s="11">
        <v>8</v>
      </c>
      <c r="E324" s="20">
        <v>201.18</v>
      </c>
      <c r="F324" s="11" t="s">
        <v>13</v>
      </c>
      <c r="G324" s="11" t="s">
        <v>16</v>
      </c>
      <c r="H324" s="12">
        <v>46630</v>
      </c>
      <c r="I324" s="11">
        <v>108</v>
      </c>
      <c r="J324" s="13">
        <v>126</v>
      </c>
      <c r="K324" t="str">
        <f t="shared" si="5"/>
        <v>DE800-SDR21</v>
      </c>
      <c r="L324" s="1">
        <f>VLOOKUP(K324,'[1]Tarif - Evolution Marché'!$F:$I,4,0)</f>
        <v>201.17844444444444</v>
      </c>
    </row>
    <row r="325" spans="1:12" x14ac:dyDescent="0.3">
      <c r="A325" s="14" t="s">
        <v>23</v>
      </c>
      <c r="B325" s="15">
        <v>900</v>
      </c>
      <c r="C325" s="15" t="s">
        <v>6</v>
      </c>
      <c r="D325" s="15">
        <v>8</v>
      </c>
      <c r="E325" s="20">
        <v>253.66</v>
      </c>
      <c r="F325" s="15" t="s">
        <v>13</v>
      </c>
      <c r="G325" s="15" t="s">
        <v>16</v>
      </c>
      <c r="H325" s="17">
        <v>46630</v>
      </c>
      <c r="I325" s="15">
        <v>72</v>
      </c>
      <c r="J325" s="18">
        <v>84</v>
      </c>
      <c r="K325" t="str">
        <f t="shared" si="5"/>
        <v>DE900-SDR21</v>
      </c>
      <c r="L325" s="1">
        <f>VLOOKUP(K325,'[1]Tarif - Evolution Marché'!$F:$I,4,0)</f>
        <v>253.65977777777775</v>
      </c>
    </row>
    <row r="326" spans="1:12" x14ac:dyDescent="0.3">
      <c r="A326" s="8" t="s">
        <v>23</v>
      </c>
      <c r="B326" s="11">
        <v>1000</v>
      </c>
      <c r="C326" s="11" t="s">
        <v>6</v>
      </c>
      <c r="D326" s="11">
        <v>8</v>
      </c>
      <c r="E326" s="20">
        <v>314.89</v>
      </c>
      <c r="F326" s="11" t="s">
        <v>13</v>
      </c>
      <c r="G326" s="11" t="s">
        <v>16</v>
      </c>
      <c r="H326" s="12">
        <v>46630</v>
      </c>
      <c r="I326" s="11">
        <v>48</v>
      </c>
      <c r="J326" s="13">
        <v>56</v>
      </c>
      <c r="K326" t="str">
        <f t="shared" si="5"/>
        <v>DE1000-SDR21</v>
      </c>
      <c r="L326" s="1">
        <f>VLOOKUP(K326,'[1]Tarif - Evolution Marché'!$F:$I,4,0)</f>
        <v>314.88799999999998</v>
      </c>
    </row>
    <row r="327" spans="1:12" x14ac:dyDescent="0.3">
      <c r="A327" s="14" t="s">
        <v>23</v>
      </c>
      <c r="B327" s="15">
        <v>1200</v>
      </c>
      <c r="C327" s="15" t="s">
        <v>6</v>
      </c>
      <c r="D327" s="15">
        <v>8</v>
      </c>
      <c r="E327" s="20">
        <v>452.65</v>
      </c>
      <c r="F327" s="15" t="s">
        <v>13</v>
      </c>
      <c r="G327" s="15" t="s">
        <v>16</v>
      </c>
      <c r="H327" s="17">
        <v>46630</v>
      </c>
      <c r="I327" s="15">
        <v>36</v>
      </c>
      <c r="J327" s="18">
        <v>42</v>
      </c>
      <c r="K327" t="str">
        <f t="shared" si="5"/>
        <v>DE1200-SDR21</v>
      </c>
      <c r="L327" s="1">
        <f>VLOOKUP(K327,'[1]Tarif - Evolution Marché'!$F:$I,4,0)</f>
        <v>452.65149999999994</v>
      </c>
    </row>
    <row r="328" spans="1:12" x14ac:dyDescent="0.3">
      <c r="A328" s="8" t="s">
        <v>23</v>
      </c>
      <c r="B328" s="11">
        <v>32</v>
      </c>
      <c r="C328" s="11" t="s">
        <v>7</v>
      </c>
      <c r="D328" s="11">
        <v>10</v>
      </c>
      <c r="E328" s="20">
        <v>0.43</v>
      </c>
      <c r="F328" s="11" t="s">
        <v>13</v>
      </c>
      <c r="G328" s="11" t="s">
        <v>16</v>
      </c>
      <c r="H328" s="12">
        <v>46630</v>
      </c>
      <c r="I328" s="12"/>
      <c r="J328" s="13"/>
      <c r="K328" t="str">
        <f t="shared" si="5"/>
        <v>DE32-SDR17</v>
      </c>
      <c r="L328" s="1">
        <f>VLOOKUP(K328,'[1]Tarif - Evolution Marché'!$F:$I,4,0)</f>
        <v>0.43297099999999999</v>
      </c>
    </row>
    <row r="329" spans="1:12" x14ac:dyDescent="0.3">
      <c r="A329" s="14" t="s">
        <v>23</v>
      </c>
      <c r="B329" s="15">
        <v>40</v>
      </c>
      <c r="C329" s="15" t="s">
        <v>7</v>
      </c>
      <c r="D329" s="15">
        <v>10</v>
      </c>
      <c r="E329" s="20">
        <v>0.65</v>
      </c>
      <c r="F329" s="15" t="s">
        <v>13</v>
      </c>
      <c r="G329" s="15" t="s">
        <v>16</v>
      </c>
      <c r="H329" s="17">
        <v>46630</v>
      </c>
      <c r="I329" s="17"/>
      <c r="J329" s="18"/>
      <c r="K329" t="str">
        <f t="shared" si="5"/>
        <v>DE40-SDR17</v>
      </c>
      <c r="L329" s="1">
        <f>VLOOKUP(K329,'[1]Tarif - Evolution Marché'!$F:$I,4,0)</f>
        <v>0.65382994444444431</v>
      </c>
    </row>
    <row r="330" spans="1:12" x14ac:dyDescent="0.3">
      <c r="A330" s="8" t="s">
        <v>23</v>
      </c>
      <c r="B330" s="11">
        <v>50</v>
      </c>
      <c r="C330" s="11" t="s">
        <v>7</v>
      </c>
      <c r="D330" s="11">
        <v>10</v>
      </c>
      <c r="E330" s="20">
        <v>1</v>
      </c>
      <c r="F330" s="11" t="s">
        <v>13</v>
      </c>
      <c r="G330" s="11" t="s">
        <v>16</v>
      </c>
      <c r="H330" s="12">
        <v>46630</v>
      </c>
      <c r="I330" s="12"/>
      <c r="J330" s="13"/>
      <c r="K330" t="str">
        <f t="shared" si="5"/>
        <v>DE50-SDR17</v>
      </c>
      <c r="L330" s="1">
        <f>VLOOKUP(K330,'[1]Tarif - Evolution Marché'!$F:$I,4,0)</f>
        <v>1.0015187777777776</v>
      </c>
    </row>
    <row r="331" spans="1:12" x14ac:dyDescent="0.3">
      <c r="A331" s="14" t="s">
        <v>23</v>
      </c>
      <c r="B331" s="15">
        <v>63</v>
      </c>
      <c r="C331" s="15" t="s">
        <v>7</v>
      </c>
      <c r="D331" s="15">
        <v>10</v>
      </c>
      <c r="E331" s="20">
        <v>1.59</v>
      </c>
      <c r="F331" s="15" t="s">
        <v>13</v>
      </c>
      <c r="G331" s="15" t="s">
        <v>16</v>
      </c>
      <c r="H331" s="17">
        <v>46630</v>
      </c>
      <c r="I331" s="17"/>
      <c r="J331" s="18"/>
      <c r="K331" t="str">
        <f t="shared" si="5"/>
        <v>DE63-SDR17</v>
      </c>
      <c r="L331" s="1">
        <f>VLOOKUP(K331,'[1]Tarif - Evolution Marché'!$F:$I,4,0)</f>
        <v>1.5919337777777776</v>
      </c>
    </row>
    <row r="332" spans="1:12" x14ac:dyDescent="0.3">
      <c r="A332" s="8" t="s">
        <v>23</v>
      </c>
      <c r="B332" s="11">
        <v>75</v>
      </c>
      <c r="C332" s="11" t="s">
        <v>7</v>
      </c>
      <c r="D332" s="11">
        <v>10</v>
      </c>
      <c r="E332" s="20">
        <v>2.25</v>
      </c>
      <c r="F332" s="11" t="s">
        <v>13</v>
      </c>
      <c r="G332" s="11" t="s">
        <v>16</v>
      </c>
      <c r="H332" s="12">
        <v>46630</v>
      </c>
      <c r="I332" s="12"/>
      <c r="J332" s="13"/>
      <c r="K332" t="str">
        <f t="shared" si="5"/>
        <v>DE75-SDR17</v>
      </c>
      <c r="L332" s="1">
        <f>VLOOKUP(K332,'[1]Tarif - Evolution Marché'!$F:$I,4,0)</f>
        <v>2.2523238888888888</v>
      </c>
    </row>
    <row r="333" spans="1:12" x14ac:dyDescent="0.3">
      <c r="A333" s="14" t="s">
        <v>23</v>
      </c>
      <c r="B333" s="15">
        <v>90</v>
      </c>
      <c r="C333" s="15" t="s">
        <v>7</v>
      </c>
      <c r="D333" s="15">
        <v>10</v>
      </c>
      <c r="E333" s="20">
        <v>3.21</v>
      </c>
      <c r="F333" s="15" t="s">
        <v>13</v>
      </c>
      <c r="G333" s="15" t="s">
        <v>16</v>
      </c>
      <c r="H333" s="17">
        <v>46630</v>
      </c>
      <c r="I333" s="17"/>
      <c r="J333" s="18"/>
      <c r="K333" t="str">
        <f t="shared" si="5"/>
        <v>DE90-SDR17</v>
      </c>
      <c r="L333" s="1">
        <f>VLOOKUP(K333,'[1]Tarif - Evolution Marché'!$F:$I,4,0)</f>
        <v>3.2144816666666665</v>
      </c>
    </row>
    <row r="334" spans="1:12" x14ac:dyDescent="0.3">
      <c r="A334" s="8" t="s">
        <v>23</v>
      </c>
      <c r="B334" s="11">
        <v>110</v>
      </c>
      <c r="C334" s="11" t="s">
        <v>7</v>
      </c>
      <c r="D334" s="11">
        <v>10</v>
      </c>
      <c r="E334" s="20">
        <v>4.79</v>
      </c>
      <c r="F334" s="11" t="s">
        <v>13</v>
      </c>
      <c r="G334" s="11" t="s">
        <v>16</v>
      </c>
      <c r="H334" s="12">
        <v>46630</v>
      </c>
      <c r="I334" s="12"/>
      <c r="J334" s="13"/>
      <c r="K334" t="str">
        <f t="shared" si="5"/>
        <v>DE110-SDR17</v>
      </c>
      <c r="L334" s="1">
        <f>VLOOKUP(K334,'[1]Tarif - Evolution Marché'!$F:$I,4,0)</f>
        <v>4.7889216666666661</v>
      </c>
    </row>
    <row r="335" spans="1:12" x14ac:dyDescent="0.3">
      <c r="A335" s="14" t="s">
        <v>23</v>
      </c>
      <c r="B335" s="15">
        <v>125</v>
      </c>
      <c r="C335" s="15" t="s">
        <v>7</v>
      </c>
      <c r="D335" s="15">
        <v>10</v>
      </c>
      <c r="E335" s="20">
        <v>6.1</v>
      </c>
      <c r="F335" s="15" t="s">
        <v>13</v>
      </c>
      <c r="G335" s="15" t="s">
        <v>16</v>
      </c>
      <c r="H335" s="17">
        <v>46630</v>
      </c>
      <c r="I335" s="15">
        <v>2400</v>
      </c>
      <c r="J335" s="18">
        <v>2800</v>
      </c>
      <c r="K335" t="str">
        <f t="shared" si="5"/>
        <v>DE125-SDR17</v>
      </c>
      <c r="L335" s="1">
        <f>VLOOKUP(K335,'[1]Tarif - Evolution Marché'!$F:$I,4,0)</f>
        <v>6.1009549999999999</v>
      </c>
    </row>
    <row r="336" spans="1:12" x14ac:dyDescent="0.3">
      <c r="A336" s="8" t="s">
        <v>23</v>
      </c>
      <c r="B336" s="11">
        <v>140</v>
      </c>
      <c r="C336" s="11" t="s">
        <v>7</v>
      </c>
      <c r="D336" s="11">
        <v>10</v>
      </c>
      <c r="E336" s="20">
        <v>7.65</v>
      </c>
      <c r="F336" s="11" t="s">
        <v>13</v>
      </c>
      <c r="G336" s="11" t="s">
        <v>16</v>
      </c>
      <c r="H336" s="12">
        <v>46630</v>
      </c>
      <c r="I336" s="11">
        <v>1920</v>
      </c>
      <c r="J336" s="13">
        <v>2240</v>
      </c>
      <c r="K336" t="str">
        <f t="shared" si="5"/>
        <v>DE140-SDR17</v>
      </c>
      <c r="L336" s="1">
        <f>VLOOKUP(K336,'[1]Tarif - Evolution Marché'!$F:$I,4,0)</f>
        <v>7.6535277777777768</v>
      </c>
    </row>
    <row r="337" spans="1:12" x14ac:dyDescent="0.3">
      <c r="A337" s="14" t="s">
        <v>23</v>
      </c>
      <c r="B337" s="15">
        <v>160</v>
      </c>
      <c r="C337" s="15" t="s">
        <v>7</v>
      </c>
      <c r="D337" s="15">
        <v>10</v>
      </c>
      <c r="E337" s="20">
        <v>9.99</v>
      </c>
      <c r="F337" s="15" t="s">
        <v>13</v>
      </c>
      <c r="G337" s="15" t="s">
        <v>16</v>
      </c>
      <c r="H337" s="17">
        <v>46630</v>
      </c>
      <c r="I337" s="15">
        <v>1920</v>
      </c>
      <c r="J337" s="18">
        <v>2240</v>
      </c>
      <c r="K337" t="str">
        <f t="shared" si="5"/>
        <v>DE160-SDR17</v>
      </c>
      <c r="L337" s="1">
        <f>VLOOKUP(K337,'[1]Tarif - Evolution Marché'!$F:$I,4,0)</f>
        <v>9.993320555555556</v>
      </c>
    </row>
    <row r="338" spans="1:12" x14ac:dyDescent="0.3">
      <c r="A338" s="8" t="s">
        <v>23</v>
      </c>
      <c r="B338" s="11">
        <v>180</v>
      </c>
      <c r="C338" s="11" t="s">
        <v>7</v>
      </c>
      <c r="D338" s="11">
        <v>10</v>
      </c>
      <c r="E338" s="20">
        <v>12.62</v>
      </c>
      <c r="F338" s="11" t="s">
        <v>13</v>
      </c>
      <c r="G338" s="11" t="s">
        <v>16</v>
      </c>
      <c r="H338" s="12">
        <v>46630</v>
      </c>
      <c r="I338" s="11">
        <v>1200</v>
      </c>
      <c r="J338" s="13">
        <v>1400</v>
      </c>
      <c r="K338" t="str">
        <f t="shared" si="5"/>
        <v>DE180-SDR17</v>
      </c>
      <c r="L338" s="1">
        <f>VLOOKUP(K338,'[1]Tarif - Evolution Marché'!$F:$I,4,0)</f>
        <v>12.61738722222222</v>
      </c>
    </row>
    <row r="339" spans="1:12" x14ac:dyDescent="0.3">
      <c r="A339" s="14" t="s">
        <v>23</v>
      </c>
      <c r="B339" s="15">
        <v>200</v>
      </c>
      <c r="C339" s="15" t="s">
        <v>7</v>
      </c>
      <c r="D339" s="15">
        <v>10</v>
      </c>
      <c r="E339" s="20">
        <v>15.57</v>
      </c>
      <c r="F339" s="15" t="s">
        <v>13</v>
      </c>
      <c r="G339" s="15" t="s">
        <v>16</v>
      </c>
      <c r="H339" s="17">
        <v>46630</v>
      </c>
      <c r="I339" s="15">
        <v>960</v>
      </c>
      <c r="J339" s="18">
        <v>1120</v>
      </c>
      <c r="K339" t="str">
        <f t="shared" si="5"/>
        <v>DE200-SDR17</v>
      </c>
      <c r="L339" s="1">
        <f>VLOOKUP(K339,'[1]Tarif - Evolution Marché'!$F:$I,4,0)</f>
        <v>15.569462222222221</v>
      </c>
    </row>
    <row r="340" spans="1:12" x14ac:dyDescent="0.3">
      <c r="A340" s="8" t="s">
        <v>23</v>
      </c>
      <c r="B340" s="11">
        <v>225</v>
      </c>
      <c r="C340" s="11" t="s">
        <v>7</v>
      </c>
      <c r="D340" s="11">
        <v>10</v>
      </c>
      <c r="E340" s="20">
        <v>19.75</v>
      </c>
      <c r="F340" s="11" t="s">
        <v>13</v>
      </c>
      <c r="G340" s="11" t="s">
        <v>16</v>
      </c>
      <c r="H340" s="12">
        <v>46630</v>
      </c>
      <c r="I340" s="11">
        <v>960</v>
      </c>
      <c r="J340" s="13">
        <v>1120</v>
      </c>
      <c r="K340" t="str">
        <f t="shared" si="5"/>
        <v>DE225-SDR17</v>
      </c>
      <c r="L340" s="1">
        <f>VLOOKUP(K340,'[1]Tarif - Evolution Marché'!$F:$I,4,0)</f>
        <v>19.746101666666664</v>
      </c>
    </row>
    <row r="341" spans="1:12" x14ac:dyDescent="0.3">
      <c r="A341" s="14" t="s">
        <v>23</v>
      </c>
      <c r="B341" s="15">
        <v>250</v>
      </c>
      <c r="C341" s="15" t="s">
        <v>7</v>
      </c>
      <c r="D341" s="15">
        <v>10</v>
      </c>
      <c r="E341" s="20">
        <v>24.27</v>
      </c>
      <c r="F341" s="15" t="s">
        <v>13</v>
      </c>
      <c r="G341" s="15" t="s">
        <v>16</v>
      </c>
      <c r="H341" s="17">
        <v>46630</v>
      </c>
      <c r="I341" s="15">
        <v>672</v>
      </c>
      <c r="J341" s="18">
        <v>784</v>
      </c>
      <c r="K341" t="str">
        <f t="shared" si="5"/>
        <v>DE250-SDR17</v>
      </c>
      <c r="L341" s="1">
        <f>VLOOKUP(K341,'[1]Tarif - Evolution Marché'!$F:$I,4,0)</f>
        <v>24.272616666666664</v>
      </c>
    </row>
    <row r="342" spans="1:12" x14ac:dyDescent="0.3">
      <c r="A342" s="8" t="s">
        <v>23</v>
      </c>
      <c r="B342" s="11">
        <v>280</v>
      </c>
      <c r="C342" s="11" t="s">
        <v>7</v>
      </c>
      <c r="D342" s="11">
        <v>10</v>
      </c>
      <c r="E342" s="20">
        <v>30.4</v>
      </c>
      <c r="F342" s="11" t="s">
        <v>13</v>
      </c>
      <c r="G342" s="11" t="s">
        <v>16</v>
      </c>
      <c r="H342" s="12">
        <v>46630</v>
      </c>
      <c r="I342" s="11">
        <v>672</v>
      </c>
      <c r="J342" s="13">
        <v>784</v>
      </c>
      <c r="K342" t="str">
        <f t="shared" si="5"/>
        <v>DE280-SDR17</v>
      </c>
      <c r="L342" s="1">
        <f>VLOOKUP(K342,'[1]Tarif - Evolution Marché'!$F:$I,4,0)</f>
        <v>30.395438888888886</v>
      </c>
    </row>
    <row r="343" spans="1:12" x14ac:dyDescent="0.3">
      <c r="A343" s="14" t="s">
        <v>23</v>
      </c>
      <c r="B343" s="15">
        <v>315</v>
      </c>
      <c r="C343" s="15" t="s">
        <v>7</v>
      </c>
      <c r="D343" s="15">
        <v>10</v>
      </c>
      <c r="E343" s="20">
        <v>38.49</v>
      </c>
      <c r="F343" s="15" t="s">
        <v>13</v>
      </c>
      <c r="G343" s="15" t="s">
        <v>16</v>
      </c>
      <c r="H343" s="17">
        <v>46630</v>
      </c>
      <c r="I343" s="15">
        <v>432</v>
      </c>
      <c r="J343" s="18">
        <v>504</v>
      </c>
      <c r="K343" t="str">
        <f t="shared" si="5"/>
        <v>DE315-SDR17</v>
      </c>
      <c r="L343" s="1">
        <f>VLOOKUP(K343,'[1]Tarif - Evolution Marché'!$F:$I,4,0)</f>
        <v>38.486311111111114</v>
      </c>
    </row>
    <row r="344" spans="1:12" x14ac:dyDescent="0.3">
      <c r="A344" s="8" t="s">
        <v>23</v>
      </c>
      <c r="B344" s="11">
        <v>355</v>
      </c>
      <c r="C344" s="11" t="s">
        <v>7</v>
      </c>
      <c r="D344" s="11">
        <v>10</v>
      </c>
      <c r="E344" s="20">
        <v>48.98</v>
      </c>
      <c r="F344" s="11" t="s">
        <v>13</v>
      </c>
      <c r="G344" s="11" t="s">
        <v>16</v>
      </c>
      <c r="H344" s="12">
        <v>46630</v>
      </c>
      <c r="I344" s="11">
        <v>360</v>
      </c>
      <c r="J344" s="13">
        <v>420</v>
      </c>
      <c r="K344" t="str">
        <f t="shared" si="5"/>
        <v>DE355-SDR17</v>
      </c>
      <c r="L344" s="1">
        <f>VLOOKUP(K344,'[1]Tarif - Evolution Marché'!$F:$I,4,0)</f>
        <v>48.98257777777777</v>
      </c>
    </row>
    <row r="345" spans="1:12" x14ac:dyDescent="0.3">
      <c r="A345" s="14" t="s">
        <v>23</v>
      </c>
      <c r="B345" s="15">
        <v>400</v>
      </c>
      <c r="C345" s="15" t="s">
        <v>7</v>
      </c>
      <c r="D345" s="15">
        <v>10</v>
      </c>
      <c r="E345" s="20">
        <v>61.88</v>
      </c>
      <c r="F345" s="15" t="s">
        <v>13</v>
      </c>
      <c r="G345" s="15" t="s">
        <v>16</v>
      </c>
      <c r="H345" s="17">
        <v>46630</v>
      </c>
      <c r="I345" s="15">
        <v>360</v>
      </c>
      <c r="J345" s="18">
        <v>420</v>
      </c>
      <c r="K345" t="str">
        <f t="shared" si="5"/>
        <v>DE400-SDR17</v>
      </c>
      <c r="L345" s="1">
        <f>VLOOKUP(K345,'[1]Tarif - Evolution Marché'!$F:$I,4,0)</f>
        <v>61.884238888888888</v>
      </c>
    </row>
    <row r="346" spans="1:12" x14ac:dyDescent="0.3">
      <c r="A346" s="8" t="s">
        <v>23</v>
      </c>
      <c r="B346" s="11">
        <v>450</v>
      </c>
      <c r="C346" s="11" t="s">
        <v>7</v>
      </c>
      <c r="D346" s="11">
        <v>10</v>
      </c>
      <c r="E346" s="20">
        <v>78.28</v>
      </c>
      <c r="F346" s="11" t="s">
        <v>13</v>
      </c>
      <c r="G346" s="11" t="s">
        <v>16</v>
      </c>
      <c r="H346" s="12">
        <v>46630</v>
      </c>
      <c r="I346" s="11">
        <v>192</v>
      </c>
      <c r="J346" s="13">
        <v>224</v>
      </c>
      <c r="K346" t="str">
        <f t="shared" si="5"/>
        <v>DE450-SDR17</v>
      </c>
      <c r="L346" s="1">
        <f>VLOOKUP(K346,'[1]Tarif - Evolution Marché'!$F:$I,4,0)</f>
        <v>78.284655555555545</v>
      </c>
    </row>
    <row r="347" spans="1:12" x14ac:dyDescent="0.3">
      <c r="A347" s="14" t="s">
        <v>23</v>
      </c>
      <c r="B347" s="15">
        <v>500</v>
      </c>
      <c r="C347" s="15" t="s">
        <v>7</v>
      </c>
      <c r="D347" s="15">
        <v>10</v>
      </c>
      <c r="E347" s="20">
        <v>96.65</v>
      </c>
      <c r="F347" s="15" t="s">
        <v>13</v>
      </c>
      <c r="G347" s="15" t="s">
        <v>16</v>
      </c>
      <c r="H347" s="17">
        <v>46630</v>
      </c>
      <c r="I347" s="15">
        <v>192</v>
      </c>
      <c r="J347" s="18">
        <v>224</v>
      </c>
      <c r="K347" t="str">
        <f t="shared" si="5"/>
        <v>DE500-SDR17</v>
      </c>
      <c r="L347" s="1">
        <f>VLOOKUP(K347,'[1]Tarif - Evolution Marché'!$F:$I,4,0)</f>
        <v>96.653122222222223</v>
      </c>
    </row>
    <row r="348" spans="1:12" x14ac:dyDescent="0.3">
      <c r="A348" s="8" t="s">
        <v>23</v>
      </c>
      <c r="B348" s="11">
        <v>560</v>
      </c>
      <c r="C348" s="11" t="s">
        <v>7</v>
      </c>
      <c r="D348" s="11">
        <v>10</v>
      </c>
      <c r="E348" s="20">
        <v>121.14</v>
      </c>
      <c r="F348" s="11" t="s">
        <v>13</v>
      </c>
      <c r="G348" s="11" t="s">
        <v>16</v>
      </c>
      <c r="H348" s="12">
        <v>46630</v>
      </c>
      <c r="I348" s="11">
        <v>192</v>
      </c>
      <c r="J348" s="13">
        <v>224</v>
      </c>
      <c r="K348" t="str">
        <f t="shared" si="5"/>
        <v>DE560-SDR17</v>
      </c>
      <c r="L348" s="1">
        <f>VLOOKUP(K348,'[1]Tarif - Evolution Marché'!$F:$I,4,0)</f>
        <v>121.1444111111111</v>
      </c>
    </row>
    <row r="349" spans="1:12" x14ac:dyDescent="0.3">
      <c r="A349" s="14" t="s">
        <v>23</v>
      </c>
      <c r="B349" s="15">
        <v>630</v>
      </c>
      <c r="C349" s="15" t="s">
        <v>7</v>
      </c>
      <c r="D349" s="15">
        <v>10</v>
      </c>
      <c r="E349" s="20">
        <v>153.51</v>
      </c>
      <c r="F349" s="15" t="s">
        <v>13</v>
      </c>
      <c r="G349" s="15" t="s">
        <v>16</v>
      </c>
      <c r="H349" s="17">
        <v>46630</v>
      </c>
      <c r="I349" s="15">
        <v>108</v>
      </c>
      <c r="J349" s="18">
        <v>126</v>
      </c>
      <c r="K349" t="str">
        <f t="shared" si="5"/>
        <v>DE630-SDR17</v>
      </c>
      <c r="L349" s="1">
        <f>VLOOKUP(K349,'[1]Tarif - Evolution Marché'!$F:$I,4,0)</f>
        <v>153.50789999999998</v>
      </c>
    </row>
    <row r="350" spans="1:12" x14ac:dyDescent="0.3">
      <c r="A350" s="8" t="s">
        <v>23</v>
      </c>
      <c r="B350" s="11">
        <v>710</v>
      </c>
      <c r="C350" s="11" t="s">
        <v>7</v>
      </c>
      <c r="D350" s="11">
        <v>10</v>
      </c>
      <c r="E350" s="20">
        <v>194.62</v>
      </c>
      <c r="F350" s="11" t="s">
        <v>13</v>
      </c>
      <c r="G350" s="11" t="s">
        <v>16</v>
      </c>
      <c r="H350" s="12">
        <v>46630</v>
      </c>
      <c r="I350" s="11">
        <v>108</v>
      </c>
      <c r="J350" s="13">
        <v>126</v>
      </c>
      <c r="K350" t="str">
        <f t="shared" si="5"/>
        <v>DE710-SDR17</v>
      </c>
      <c r="L350" s="1">
        <f>VLOOKUP(K350,'[1]Tarif - Evolution Marché'!$F:$I,4,0)</f>
        <v>194.61827777777776</v>
      </c>
    </row>
    <row r="351" spans="1:12" x14ac:dyDescent="0.3">
      <c r="A351" s="14" t="s">
        <v>23</v>
      </c>
      <c r="B351" s="15">
        <v>800</v>
      </c>
      <c r="C351" s="15" t="s">
        <v>7</v>
      </c>
      <c r="D351" s="15">
        <v>10</v>
      </c>
      <c r="E351" s="20">
        <v>247.1</v>
      </c>
      <c r="F351" s="15" t="s">
        <v>13</v>
      </c>
      <c r="G351" s="15" t="s">
        <v>16</v>
      </c>
      <c r="H351" s="17">
        <v>46630</v>
      </c>
      <c r="I351" s="15">
        <v>108</v>
      </c>
      <c r="J351" s="18">
        <v>126</v>
      </c>
      <c r="K351" t="str">
        <f t="shared" si="5"/>
        <v>DE800-SDR17</v>
      </c>
      <c r="L351" s="1">
        <f>VLOOKUP(K351,'[1]Tarif - Evolution Marché'!$F:$I,4,0)</f>
        <v>247.09961111111107</v>
      </c>
    </row>
    <row r="352" spans="1:12" x14ac:dyDescent="0.3">
      <c r="A352" s="8" t="s">
        <v>23</v>
      </c>
      <c r="B352" s="11">
        <v>900</v>
      </c>
      <c r="C352" s="11" t="s">
        <v>7</v>
      </c>
      <c r="D352" s="11">
        <v>10</v>
      </c>
      <c r="E352" s="20">
        <v>312.7</v>
      </c>
      <c r="F352" s="11" t="s">
        <v>13</v>
      </c>
      <c r="G352" s="11" t="s">
        <v>16</v>
      </c>
      <c r="H352" s="12">
        <v>46630</v>
      </c>
      <c r="I352" s="11">
        <v>72</v>
      </c>
      <c r="J352" s="13">
        <v>84</v>
      </c>
      <c r="K352" t="str">
        <f t="shared" si="5"/>
        <v>DE900-SDR17</v>
      </c>
      <c r="L352" s="1">
        <f>VLOOKUP(K352,'[1]Tarif - Evolution Marché'!$F:$I,4,0)</f>
        <v>312.70127777777776</v>
      </c>
    </row>
    <row r="353" spans="1:12" x14ac:dyDescent="0.3">
      <c r="A353" s="14" t="s">
        <v>23</v>
      </c>
      <c r="B353" s="15">
        <v>1000</v>
      </c>
      <c r="C353" s="15" t="s">
        <v>7</v>
      </c>
      <c r="D353" s="15">
        <v>10</v>
      </c>
      <c r="E353" s="20">
        <v>384.86</v>
      </c>
      <c r="F353" s="15" t="s">
        <v>13</v>
      </c>
      <c r="G353" s="15" t="s">
        <v>16</v>
      </c>
      <c r="H353" s="17">
        <v>46630</v>
      </c>
      <c r="I353" s="15">
        <v>48</v>
      </c>
      <c r="J353" s="18">
        <v>56</v>
      </c>
      <c r="K353" t="str">
        <f t="shared" si="5"/>
        <v>DE1000-SDR17</v>
      </c>
      <c r="L353" s="1">
        <f>VLOOKUP(K353,'[1]Tarif - Evolution Marché'!$F:$I,4,0)</f>
        <v>384.8631111111111</v>
      </c>
    </row>
    <row r="354" spans="1:12" x14ac:dyDescent="0.3">
      <c r="A354" s="8" t="s">
        <v>23</v>
      </c>
      <c r="B354" s="11">
        <v>25</v>
      </c>
      <c r="C354" s="11" t="s">
        <v>8</v>
      </c>
      <c r="D354" s="11">
        <v>12.5</v>
      </c>
      <c r="E354" s="20">
        <v>0.33</v>
      </c>
      <c r="F354" s="11" t="s">
        <v>13</v>
      </c>
      <c r="G354" s="11" t="s">
        <v>16</v>
      </c>
      <c r="H354" s="12">
        <v>46630</v>
      </c>
      <c r="I354" s="12"/>
      <c r="J354" s="13"/>
      <c r="K354" t="str">
        <f t="shared" si="5"/>
        <v>DE25-SDR13,6</v>
      </c>
      <c r="L354" s="1">
        <f>VLOOKUP(K354,'[1]Tarif - Evolution Marché'!$F:$I,4,0)</f>
        <v>0.33019505555555551</v>
      </c>
    </row>
    <row r="355" spans="1:12" x14ac:dyDescent="0.3">
      <c r="A355" s="14" t="s">
        <v>23</v>
      </c>
      <c r="B355" s="15">
        <v>32</v>
      </c>
      <c r="C355" s="15" t="s">
        <v>8</v>
      </c>
      <c r="D355" s="15">
        <v>12.5</v>
      </c>
      <c r="E355" s="20">
        <v>0.51</v>
      </c>
      <c r="F355" s="15" t="s">
        <v>13</v>
      </c>
      <c r="G355" s="15" t="s">
        <v>16</v>
      </c>
      <c r="H355" s="17">
        <v>46630</v>
      </c>
      <c r="I355" s="17"/>
      <c r="J355" s="18"/>
      <c r="K355" t="str">
        <f t="shared" si="5"/>
        <v>DE32-SDR13,6</v>
      </c>
      <c r="L355" s="1">
        <f>VLOOKUP(K355,'[1]Tarif - Evolution Marché'!$F:$I,4,0)</f>
        <v>0.51387972222222211</v>
      </c>
    </row>
    <row r="356" spans="1:12" x14ac:dyDescent="0.3">
      <c r="A356" s="8" t="s">
        <v>23</v>
      </c>
      <c r="B356" s="11">
        <v>40</v>
      </c>
      <c r="C356" s="11" t="s">
        <v>8</v>
      </c>
      <c r="D356" s="11">
        <v>12.5</v>
      </c>
      <c r="E356" s="20">
        <v>0.79</v>
      </c>
      <c r="F356" s="11" t="s">
        <v>13</v>
      </c>
      <c r="G356" s="11" t="s">
        <v>16</v>
      </c>
      <c r="H356" s="12">
        <v>46630</v>
      </c>
      <c r="I356" s="12"/>
      <c r="J356" s="13"/>
      <c r="K356" t="str">
        <f t="shared" si="5"/>
        <v>DE40-SDR13,6</v>
      </c>
      <c r="L356" s="1">
        <f>VLOOKUP(K356,'[1]Tarif - Evolution Marché'!$F:$I,4,0)</f>
        <v>0.78721999999999992</v>
      </c>
    </row>
    <row r="357" spans="1:12" x14ac:dyDescent="0.3">
      <c r="A357" s="14" t="s">
        <v>23</v>
      </c>
      <c r="B357" s="15">
        <v>50</v>
      </c>
      <c r="C357" s="15" t="s">
        <v>8</v>
      </c>
      <c r="D357" s="15">
        <v>12.5</v>
      </c>
      <c r="E357" s="20">
        <v>1.21</v>
      </c>
      <c r="F357" s="15" t="s">
        <v>13</v>
      </c>
      <c r="G357" s="15" t="s">
        <v>16</v>
      </c>
      <c r="H357" s="17">
        <v>46630</v>
      </c>
      <c r="I357" s="17"/>
      <c r="J357" s="18"/>
      <c r="K357" t="str">
        <f t="shared" si="5"/>
        <v>DE50-SDR13,6</v>
      </c>
      <c r="L357" s="1">
        <f>VLOOKUP(K357,'[1]Tarif - Evolution Marché'!$F:$I,4,0)</f>
        <v>1.2136308333333332</v>
      </c>
    </row>
    <row r="358" spans="1:12" x14ac:dyDescent="0.3">
      <c r="A358" s="8" t="s">
        <v>23</v>
      </c>
      <c r="B358" s="11">
        <v>63</v>
      </c>
      <c r="C358" s="11" t="s">
        <v>8</v>
      </c>
      <c r="D358" s="11">
        <v>12.5</v>
      </c>
      <c r="E358" s="20">
        <v>1.93</v>
      </c>
      <c r="F358" s="11" t="s">
        <v>13</v>
      </c>
      <c r="G358" s="11" t="s">
        <v>16</v>
      </c>
      <c r="H358" s="12">
        <v>46630</v>
      </c>
      <c r="I358" s="12"/>
      <c r="J358" s="13"/>
      <c r="K358" t="str">
        <f t="shared" si="5"/>
        <v>DE63-SDR13,6</v>
      </c>
      <c r="L358" s="1">
        <f>VLOOKUP(K358,'[1]Tarif - Evolution Marché'!$F:$I,4,0)</f>
        <v>1.9308757222222221</v>
      </c>
    </row>
    <row r="359" spans="1:12" x14ac:dyDescent="0.3">
      <c r="A359" s="14" t="s">
        <v>23</v>
      </c>
      <c r="B359" s="15">
        <v>75</v>
      </c>
      <c r="C359" s="15" t="s">
        <v>8</v>
      </c>
      <c r="D359" s="15">
        <v>12.5</v>
      </c>
      <c r="E359" s="20">
        <v>2.73</v>
      </c>
      <c r="F359" s="15" t="s">
        <v>13</v>
      </c>
      <c r="G359" s="15" t="s">
        <v>16</v>
      </c>
      <c r="H359" s="17">
        <v>46630</v>
      </c>
      <c r="I359" s="17"/>
      <c r="J359" s="18"/>
      <c r="K359" t="str">
        <f t="shared" si="5"/>
        <v>DE75-SDR13,6</v>
      </c>
      <c r="L359" s="1">
        <f>VLOOKUP(K359,'[1]Tarif - Evolution Marché'!$F:$I,4,0)</f>
        <v>2.7334027777777776</v>
      </c>
    </row>
    <row r="360" spans="1:12" x14ac:dyDescent="0.3">
      <c r="A360" s="8" t="s">
        <v>23</v>
      </c>
      <c r="B360" s="11">
        <v>90</v>
      </c>
      <c r="C360" s="11" t="s">
        <v>8</v>
      </c>
      <c r="D360" s="11">
        <v>12.5</v>
      </c>
      <c r="E360" s="20">
        <v>3.91</v>
      </c>
      <c r="F360" s="11" t="s">
        <v>13</v>
      </c>
      <c r="G360" s="11" t="s">
        <v>16</v>
      </c>
      <c r="H360" s="12">
        <v>46630</v>
      </c>
      <c r="I360" s="12"/>
      <c r="J360" s="13"/>
      <c r="K360" t="str">
        <f t="shared" si="5"/>
        <v>DE90-SDR13,6</v>
      </c>
      <c r="L360" s="1">
        <f>VLOOKUP(K360,'[1]Tarif - Evolution Marché'!$F:$I,4,0)</f>
        <v>3.9142327777777775</v>
      </c>
    </row>
    <row r="361" spans="1:12" x14ac:dyDescent="0.3">
      <c r="A361" s="14" t="s">
        <v>23</v>
      </c>
      <c r="B361" s="15">
        <v>110</v>
      </c>
      <c r="C361" s="15" t="s">
        <v>8</v>
      </c>
      <c r="D361" s="15">
        <v>12.5</v>
      </c>
      <c r="E361" s="20">
        <v>5.77</v>
      </c>
      <c r="F361" s="15" t="s">
        <v>13</v>
      </c>
      <c r="G361" s="15" t="s">
        <v>16</v>
      </c>
      <c r="H361" s="17">
        <v>46630</v>
      </c>
      <c r="I361" s="17"/>
      <c r="J361" s="18"/>
      <c r="K361" t="str">
        <f t="shared" si="5"/>
        <v>DE110-SDR13,6</v>
      </c>
      <c r="L361" s="1">
        <f>VLOOKUP(K361,'[1]Tarif - Evolution Marché'!$F:$I,4,0)</f>
        <v>5.772946666666666</v>
      </c>
    </row>
    <row r="362" spans="1:12" x14ac:dyDescent="0.3">
      <c r="A362" s="8" t="s">
        <v>23</v>
      </c>
      <c r="B362" s="11">
        <v>125</v>
      </c>
      <c r="C362" s="11" t="s">
        <v>8</v>
      </c>
      <c r="D362" s="11">
        <v>12.5</v>
      </c>
      <c r="E362" s="20">
        <v>7.43</v>
      </c>
      <c r="F362" s="11" t="s">
        <v>13</v>
      </c>
      <c r="G362" s="11" t="s">
        <v>16</v>
      </c>
      <c r="H362" s="12">
        <v>46630</v>
      </c>
      <c r="I362" s="11">
        <v>2400</v>
      </c>
      <c r="J362" s="13">
        <v>2800</v>
      </c>
      <c r="K362" t="str">
        <f t="shared" si="5"/>
        <v>DE125-SDR13,6</v>
      </c>
      <c r="L362" s="1">
        <f>VLOOKUP(K362,'[1]Tarif - Evolution Marché'!$F:$I,4,0)</f>
        <v>7.4348555555555542</v>
      </c>
    </row>
    <row r="363" spans="1:12" x14ac:dyDescent="0.3">
      <c r="A363" s="14" t="s">
        <v>23</v>
      </c>
      <c r="B363" s="15">
        <v>140</v>
      </c>
      <c r="C363" s="15" t="s">
        <v>8</v>
      </c>
      <c r="D363" s="15">
        <v>12.5</v>
      </c>
      <c r="E363" s="20">
        <v>9.32</v>
      </c>
      <c r="F363" s="15" t="s">
        <v>13</v>
      </c>
      <c r="G363" s="15" t="s">
        <v>16</v>
      </c>
      <c r="H363" s="17">
        <v>46630</v>
      </c>
      <c r="I363" s="15">
        <v>1920</v>
      </c>
      <c r="J363" s="18">
        <v>2240</v>
      </c>
      <c r="K363" t="str">
        <f t="shared" si="5"/>
        <v>DE140-SDR13,6</v>
      </c>
      <c r="L363" s="1">
        <f>VLOOKUP(K363,'[1]Tarif - Evolution Marché'!$F:$I,4,0)</f>
        <v>9.315436666666665</v>
      </c>
    </row>
    <row r="364" spans="1:12" x14ac:dyDescent="0.3">
      <c r="A364" s="8" t="s">
        <v>23</v>
      </c>
      <c r="B364" s="11">
        <v>160</v>
      </c>
      <c r="C364" s="11" t="s">
        <v>8</v>
      </c>
      <c r="D364" s="11">
        <v>12.5</v>
      </c>
      <c r="E364" s="20">
        <v>12.16</v>
      </c>
      <c r="F364" s="11" t="s">
        <v>13</v>
      </c>
      <c r="G364" s="11" t="s">
        <v>16</v>
      </c>
      <c r="H364" s="12">
        <v>46630</v>
      </c>
      <c r="I364" s="11">
        <v>1920</v>
      </c>
      <c r="J364" s="13">
        <v>2240</v>
      </c>
      <c r="K364" t="str">
        <f t="shared" si="5"/>
        <v>DE160-SDR13,6</v>
      </c>
      <c r="L364" s="1">
        <f>VLOOKUP(K364,'[1]Tarif - Evolution Marché'!$F:$I,4,0)</f>
        <v>12.158175555555554</v>
      </c>
    </row>
    <row r="365" spans="1:12" x14ac:dyDescent="0.3">
      <c r="A365" s="14" t="s">
        <v>23</v>
      </c>
      <c r="B365" s="15">
        <v>180</v>
      </c>
      <c r="C365" s="15" t="s">
        <v>8</v>
      </c>
      <c r="D365" s="15">
        <v>12.5</v>
      </c>
      <c r="E365" s="20">
        <v>15.42</v>
      </c>
      <c r="F365" s="15" t="s">
        <v>13</v>
      </c>
      <c r="G365" s="15" t="s">
        <v>16</v>
      </c>
      <c r="H365" s="17">
        <v>46630</v>
      </c>
      <c r="I365" s="15">
        <v>1200</v>
      </c>
      <c r="J365" s="18">
        <v>1400</v>
      </c>
      <c r="K365" t="str">
        <f t="shared" si="5"/>
        <v>DE180-SDR13,6</v>
      </c>
      <c r="L365" s="1">
        <f>VLOOKUP(K365,'[1]Tarif - Evolution Marché'!$F:$I,4,0)</f>
        <v>15.416391666666664</v>
      </c>
    </row>
    <row r="366" spans="1:12" x14ac:dyDescent="0.3">
      <c r="A366" s="8" t="s">
        <v>23</v>
      </c>
      <c r="B366" s="11">
        <v>200</v>
      </c>
      <c r="C366" s="11" t="s">
        <v>8</v>
      </c>
      <c r="D366" s="11">
        <v>12.5</v>
      </c>
      <c r="E366" s="20">
        <v>18.920000000000002</v>
      </c>
      <c r="F366" s="11" t="s">
        <v>13</v>
      </c>
      <c r="G366" s="11" t="s">
        <v>16</v>
      </c>
      <c r="H366" s="12">
        <v>46630</v>
      </c>
      <c r="I366" s="11">
        <v>960</v>
      </c>
      <c r="J366" s="13">
        <v>1120</v>
      </c>
      <c r="K366" t="str">
        <f t="shared" si="5"/>
        <v>DE200-SDR13,6</v>
      </c>
      <c r="L366" s="1">
        <f>VLOOKUP(K366,'[1]Tarif - Evolution Marché'!$F:$I,4,0)</f>
        <v>18.91514722222222</v>
      </c>
    </row>
    <row r="367" spans="1:12" x14ac:dyDescent="0.3">
      <c r="A367" s="14" t="s">
        <v>23</v>
      </c>
      <c r="B367" s="15">
        <v>225</v>
      </c>
      <c r="C367" s="15" t="s">
        <v>8</v>
      </c>
      <c r="D367" s="15">
        <v>12.5</v>
      </c>
      <c r="E367" s="20">
        <v>24.05</v>
      </c>
      <c r="F367" s="15" t="s">
        <v>13</v>
      </c>
      <c r="G367" s="15" t="s">
        <v>16</v>
      </c>
      <c r="H367" s="17">
        <v>46630</v>
      </c>
      <c r="I367" s="15">
        <v>960</v>
      </c>
      <c r="J367" s="18">
        <v>1120</v>
      </c>
      <c r="K367" t="str">
        <f t="shared" si="5"/>
        <v>DE225-SDR13,6</v>
      </c>
      <c r="L367" s="1">
        <f>VLOOKUP(K367,'[1]Tarif - Evolution Marché'!$F:$I,4,0)</f>
        <v>24.053944444444443</v>
      </c>
    </row>
    <row r="368" spans="1:12" x14ac:dyDescent="0.3">
      <c r="A368" s="8" t="s">
        <v>23</v>
      </c>
      <c r="B368" s="11">
        <v>250</v>
      </c>
      <c r="C368" s="11" t="s">
        <v>8</v>
      </c>
      <c r="D368" s="11">
        <v>12.5</v>
      </c>
      <c r="E368" s="20">
        <v>29.52</v>
      </c>
      <c r="F368" s="11" t="s">
        <v>13</v>
      </c>
      <c r="G368" s="11" t="s">
        <v>16</v>
      </c>
      <c r="H368" s="12">
        <v>46630</v>
      </c>
      <c r="I368" s="11">
        <v>672</v>
      </c>
      <c r="J368" s="13">
        <v>784</v>
      </c>
      <c r="K368" t="str">
        <f t="shared" si="5"/>
        <v>DE250-SDR13,6</v>
      </c>
      <c r="L368" s="1">
        <f>VLOOKUP(K368,'[1]Tarif - Evolution Marché'!$F:$I,4,0)</f>
        <v>29.520749999999996</v>
      </c>
    </row>
    <row r="369" spans="1:12" x14ac:dyDescent="0.3">
      <c r="A369" s="14" t="s">
        <v>23</v>
      </c>
      <c r="B369" s="15">
        <v>280</v>
      </c>
      <c r="C369" s="15" t="s">
        <v>8</v>
      </c>
      <c r="D369" s="15">
        <v>12.5</v>
      </c>
      <c r="E369" s="20">
        <v>36.96</v>
      </c>
      <c r="F369" s="15" t="s">
        <v>13</v>
      </c>
      <c r="G369" s="15" t="s">
        <v>16</v>
      </c>
      <c r="H369" s="17">
        <v>46630</v>
      </c>
      <c r="I369" s="15">
        <v>672</v>
      </c>
      <c r="J369" s="18">
        <v>784</v>
      </c>
      <c r="K369" t="str">
        <f t="shared" si="5"/>
        <v>DE280-SDR13,6</v>
      </c>
      <c r="L369" s="1">
        <f>VLOOKUP(K369,'[1]Tarif - Evolution Marché'!$F:$I,4,0)</f>
        <v>36.95560555555555</v>
      </c>
    </row>
    <row r="370" spans="1:12" x14ac:dyDescent="0.3">
      <c r="A370" s="8" t="s">
        <v>23</v>
      </c>
      <c r="B370" s="11">
        <v>315</v>
      </c>
      <c r="C370" s="11" t="s">
        <v>8</v>
      </c>
      <c r="D370" s="11">
        <v>12.5</v>
      </c>
      <c r="E370" s="20">
        <v>47.01</v>
      </c>
      <c r="F370" s="11" t="s">
        <v>13</v>
      </c>
      <c r="G370" s="11" t="s">
        <v>16</v>
      </c>
      <c r="H370" s="12">
        <v>46630</v>
      </c>
      <c r="I370" s="11">
        <v>432</v>
      </c>
      <c r="J370" s="13">
        <v>504</v>
      </c>
      <c r="K370" t="str">
        <f t="shared" si="5"/>
        <v>DE315-SDR13,6</v>
      </c>
      <c r="L370" s="1">
        <f>VLOOKUP(K370,'[1]Tarif - Evolution Marché'!$F:$I,4,0)</f>
        <v>47.014527777777772</v>
      </c>
    </row>
    <row r="371" spans="1:12" x14ac:dyDescent="0.3">
      <c r="A371" s="14" t="s">
        <v>23</v>
      </c>
      <c r="B371" s="15">
        <v>355</v>
      </c>
      <c r="C371" s="15" t="s">
        <v>8</v>
      </c>
      <c r="D371" s="15">
        <v>12.5</v>
      </c>
      <c r="E371" s="20">
        <v>59.48</v>
      </c>
      <c r="F371" s="15" t="s">
        <v>13</v>
      </c>
      <c r="G371" s="15" t="s">
        <v>16</v>
      </c>
      <c r="H371" s="17">
        <v>46630</v>
      </c>
      <c r="I371" s="15">
        <v>360</v>
      </c>
      <c r="J371" s="18">
        <v>420</v>
      </c>
      <c r="K371" t="str">
        <f t="shared" si="5"/>
        <v>DE355-SDR13,6</v>
      </c>
      <c r="L371" s="1">
        <f>VLOOKUP(K371,'[1]Tarif - Evolution Marché'!$F:$I,4,0)</f>
        <v>59.478844444444434</v>
      </c>
    </row>
    <row r="372" spans="1:12" x14ac:dyDescent="0.3">
      <c r="A372" s="8" t="s">
        <v>23</v>
      </c>
      <c r="B372" s="11">
        <v>400</v>
      </c>
      <c r="C372" s="11" t="s">
        <v>8</v>
      </c>
      <c r="D372" s="11">
        <v>12.5</v>
      </c>
      <c r="E372" s="20">
        <v>75.44</v>
      </c>
      <c r="F372" s="11" t="s">
        <v>13</v>
      </c>
      <c r="G372" s="11" t="s">
        <v>16</v>
      </c>
      <c r="H372" s="12">
        <v>46630</v>
      </c>
      <c r="I372" s="11">
        <v>360</v>
      </c>
      <c r="J372" s="13">
        <v>420</v>
      </c>
      <c r="K372" t="str">
        <f t="shared" si="5"/>
        <v>DE400-SDR13,6</v>
      </c>
      <c r="L372" s="1">
        <f>VLOOKUP(K372,'[1]Tarif - Evolution Marché'!$F:$I,4,0)</f>
        <v>75.441916666666657</v>
      </c>
    </row>
    <row r="373" spans="1:12" x14ac:dyDescent="0.3">
      <c r="A373" s="14" t="s">
        <v>23</v>
      </c>
      <c r="B373" s="15">
        <v>450</v>
      </c>
      <c r="C373" s="15" t="s">
        <v>8</v>
      </c>
      <c r="D373" s="15">
        <v>12.5</v>
      </c>
      <c r="E373" s="20">
        <v>95.56</v>
      </c>
      <c r="F373" s="15" t="s">
        <v>13</v>
      </c>
      <c r="G373" s="15" t="s">
        <v>16</v>
      </c>
      <c r="H373" s="17">
        <v>46630</v>
      </c>
      <c r="I373" s="15">
        <v>192</v>
      </c>
      <c r="J373" s="18">
        <v>224</v>
      </c>
      <c r="K373" t="str">
        <f t="shared" si="5"/>
        <v>DE450-SDR13,6</v>
      </c>
      <c r="L373" s="1">
        <f>VLOOKUP(K373,'[1]Tarif - Evolution Marché'!$F:$I,4,0)</f>
        <v>95.559761111111115</v>
      </c>
    </row>
    <row r="374" spans="1:12" x14ac:dyDescent="0.3">
      <c r="A374" s="8" t="s">
        <v>23</v>
      </c>
      <c r="B374" s="11">
        <v>500</v>
      </c>
      <c r="C374" s="11" t="s">
        <v>8</v>
      </c>
      <c r="D374" s="11">
        <v>12.5</v>
      </c>
      <c r="E374" s="20">
        <v>117.86</v>
      </c>
      <c r="F374" s="11" t="s">
        <v>13</v>
      </c>
      <c r="G374" s="11" t="s">
        <v>16</v>
      </c>
      <c r="H374" s="12">
        <v>46630</v>
      </c>
      <c r="I374" s="11">
        <v>192</v>
      </c>
      <c r="J374" s="13">
        <v>224</v>
      </c>
      <c r="K374" t="str">
        <f t="shared" si="5"/>
        <v>DE500-SDR13,6</v>
      </c>
      <c r="L374" s="1">
        <f>VLOOKUP(K374,'[1]Tarif - Evolution Marché'!$F:$I,4,0)</f>
        <v>117.86432777777776</v>
      </c>
    </row>
    <row r="375" spans="1:12" x14ac:dyDescent="0.3">
      <c r="A375" s="14" t="s">
        <v>23</v>
      </c>
      <c r="B375" s="15">
        <v>560</v>
      </c>
      <c r="C375" s="15" t="s">
        <v>8</v>
      </c>
      <c r="D375" s="15">
        <v>12.5</v>
      </c>
      <c r="E375" s="20">
        <v>147.82</v>
      </c>
      <c r="F375" s="15" t="s">
        <v>13</v>
      </c>
      <c r="G375" s="15" t="s">
        <v>16</v>
      </c>
      <c r="H375" s="17">
        <v>46630</v>
      </c>
      <c r="I375" s="15">
        <v>192</v>
      </c>
      <c r="J375" s="18">
        <v>224</v>
      </c>
      <c r="K375" t="str">
        <f t="shared" si="5"/>
        <v>DE560-SDR13,6</v>
      </c>
      <c r="L375" s="1">
        <f>VLOOKUP(K375,'[1]Tarif - Evolution Marché'!$F:$I,4,0)</f>
        <v>147.8224222222222</v>
      </c>
    </row>
    <row r="376" spans="1:12" x14ac:dyDescent="0.3">
      <c r="A376" s="8" t="s">
        <v>23</v>
      </c>
      <c r="B376" s="11">
        <v>630</v>
      </c>
      <c r="C376" s="11" t="s">
        <v>8</v>
      </c>
      <c r="D376" s="11">
        <v>12.5</v>
      </c>
      <c r="E376" s="20">
        <v>186.96</v>
      </c>
      <c r="F376" s="11" t="s">
        <v>13</v>
      </c>
      <c r="G376" s="11" t="s">
        <v>16</v>
      </c>
      <c r="H376" s="12">
        <v>46630</v>
      </c>
      <c r="I376" s="11">
        <v>108</v>
      </c>
      <c r="J376" s="13">
        <v>126</v>
      </c>
      <c r="K376" t="str">
        <f t="shared" si="5"/>
        <v>DE630-SDR13,6</v>
      </c>
      <c r="L376" s="1">
        <f>VLOOKUP(K376,'[1]Tarif - Evolution Marché'!$F:$I,4,0)</f>
        <v>186.96474999999998</v>
      </c>
    </row>
    <row r="377" spans="1:12" x14ac:dyDescent="0.3">
      <c r="A377" s="14" t="s">
        <v>23</v>
      </c>
      <c r="B377" s="15">
        <v>710</v>
      </c>
      <c r="C377" s="15" t="s">
        <v>8</v>
      </c>
      <c r="D377" s="15">
        <v>12.5</v>
      </c>
      <c r="E377" s="20">
        <v>238.35</v>
      </c>
      <c r="F377" s="15" t="s">
        <v>13</v>
      </c>
      <c r="G377" s="15" t="s">
        <v>16</v>
      </c>
      <c r="H377" s="17">
        <v>46630</v>
      </c>
      <c r="I377" s="15">
        <v>108</v>
      </c>
      <c r="J377" s="18">
        <v>126</v>
      </c>
      <c r="K377" t="str">
        <f t="shared" si="5"/>
        <v>DE710-SDR13,6</v>
      </c>
      <c r="L377" s="1">
        <f>VLOOKUP(K377,'[1]Tarif - Evolution Marché'!$F:$I,4,0)</f>
        <v>238.35272222222221</v>
      </c>
    </row>
    <row r="378" spans="1:12" x14ac:dyDescent="0.3">
      <c r="A378" s="8" t="s">
        <v>23</v>
      </c>
      <c r="B378" s="11">
        <v>800</v>
      </c>
      <c r="C378" s="11" t="s">
        <v>8</v>
      </c>
      <c r="D378" s="11">
        <v>12.5</v>
      </c>
      <c r="E378" s="20">
        <v>301.77</v>
      </c>
      <c r="F378" s="11" t="s">
        <v>13</v>
      </c>
      <c r="G378" s="11" t="s">
        <v>16</v>
      </c>
      <c r="H378" s="12">
        <v>46630</v>
      </c>
      <c r="I378" s="11">
        <v>108</v>
      </c>
      <c r="J378" s="13">
        <v>126</v>
      </c>
      <c r="K378" t="str">
        <f t="shared" si="5"/>
        <v>DE800-SDR13,6</v>
      </c>
      <c r="L378" s="1">
        <f>VLOOKUP(K378,'[1]Tarif - Evolution Marché'!$F:$I,4,0)</f>
        <v>301.76766666666663</v>
      </c>
    </row>
    <row r="379" spans="1:12" x14ac:dyDescent="0.3">
      <c r="A379" s="14" t="s">
        <v>23</v>
      </c>
      <c r="B379" s="15">
        <v>900</v>
      </c>
      <c r="C379" s="15" t="s">
        <v>8</v>
      </c>
      <c r="D379" s="15">
        <v>12.5</v>
      </c>
      <c r="E379" s="20">
        <v>380.49</v>
      </c>
      <c r="F379" s="15" t="s">
        <v>13</v>
      </c>
      <c r="G379" s="15" t="s">
        <v>16</v>
      </c>
      <c r="H379" s="17">
        <v>46630</v>
      </c>
      <c r="I379" s="15">
        <v>72</v>
      </c>
      <c r="J379" s="18">
        <v>84</v>
      </c>
      <c r="K379" t="str">
        <f t="shared" si="5"/>
        <v>DE900-SDR13,6</v>
      </c>
      <c r="L379" s="1">
        <f>VLOOKUP(K379,'[1]Tarif - Evolution Marché'!$F:$I,4,0)</f>
        <v>380.48966666666661</v>
      </c>
    </row>
    <row r="380" spans="1:12" x14ac:dyDescent="0.3">
      <c r="A380" s="8" t="s">
        <v>23</v>
      </c>
      <c r="B380" s="11">
        <v>20</v>
      </c>
      <c r="C380" s="11" t="s">
        <v>9</v>
      </c>
      <c r="D380" s="11">
        <v>16</v>
      </c>
      <c r="E380" s="20">
        <v>0.26</v>
      </c>
      <c r="F380" s="11" t="s">
        <v>13</v>
      </c>
      <c r="G380" s="11" t="s">
        <v>16</v>
      </c>
      <c r="H380" s="12">
        <v>46630</v>
      </c>
      <c r="I380" s="12"/>
      <c r="J380" s="13"/>
      <c r="K380" t="str">
        <f t="shared" si="5"/>
        <v>DE20-SDR11</v>
      </c>
      <c r="L380" s="1">
        <f>VLOOKUP(K380,'[1]Tarif - Evolution Marché'!$F:$I,4,0)</f>
        <v>0.25803322222222219</v>
      </c>
    </row>
    <row r="381" spans="1:12" x14ac:dyDescent="0.3">
      <c r="A381" s="14" t="s">
        <v>23</v>
      </c>
      <c r="B381" s="15">
        <v>25</v>
      </c>
      <c r="C381" s="15" t="s">
        <v>9</v>
      </c>
      <c r="D381" s="15">
        <v>16</v>
      </c>
      <c r="E381" s="20">
        <v>0.38</v>
      </c>
      <c r="F381" s="15" t="s">
        <v>13</v>
      </c>
      <c r="G381" s="15" t="s">
        <v>16</v>
      </c>
      <c r="H381" s="17">
        <v>46630</v>
      </c>
      <c r="I381" s="17"/>
      <c r="J381" s="18"/>
      <c r="K381" t="str">
        <f t="shared" si="5"/>
        <v>DE25-SDR11</v>
      </c>
      <c r="L381" s="1">
        <f>VLOOKUP(K381,'[1]Tarif - Evolution Marché'!$F:$I,4,0)</f>
        <v>0.3783029444444444</v>
      </c>
    </row>
    <row r="382" spans="1:12" x14ac:dyDescent="0.3">
      <c r="A382" s="8" t="s">
        <v>23</v>
      </c>
      <c r="B382" s="11">
        <v>32</v>
      </c>
      <c r="C382" s="11" t="s">
        <v>9</v>
      </c>
      <c r="D382" s="11">
        <v>16</v>
      </c>
      <c r="E382" s="20">
        <v>0.62</v>
      </c>
      <c r="F382" s="11" t="s">
        <v>13</v>
      </c>
      <c r="G382" s="11" t="s">
        <v>16</v>
      </c>
      <c r="H382" s="12">
        <v>46630</v>
      </c>
      <c r="I382" s="12"/>
      <c r="J382" s="13"/>
      <c r="K382" t="str">
        <f t="shared" si="5"/>
        <v>DE32-SDR11</v>
      </c>
      <c r="L382" s="1">
        <f>VLOOKUP(K382,'[1]Tarif - Evolution Marché'!$F:$I,4,0)</f>
        <v>0.6166556666666666</v>
      </c>
    </row>
    <row r="383" spans="1:12" x14ac:dyDescent="0.3">
      <c r="A383" s="14" t="s">
        <v>23</v>
      </c>
      <c r="B383" s="15">
        <v>40</v>
      </c>
      <c r="C383" s="15" t="s">
        <v>9</v>
      </c>
      <c r="D383" s="15">
        <v>16</v>
      </c>
      <c r="E383" s="20">
        <v>0.95</v>
      </c>
      <c r="F383" s="15" t="s">
        <v>13</v>
      </c>
      <c r="G383" s="15" t="s">
        <v>16</v>
      </c>
      <c r="H383" s="17">
        <v>46630</v>
      </c>
      <c r="I383" s="17"/>
      <c r="J383" s="18"/>
      <c r="K383" t="str">
        <f t="shared" si="5"/>
        <v>DE40-SDR11</v>
      </c>
      <c r="L383" s="1">
        <f>VLOOKUP(K383,'[1]Tarif - Evolution Marché'!$F:$I,4,0)</f>
        <v>0.94903744444444438</v>
      </c>
    </row>
    <row r="384" spans="1:12" x14ac:dyDescent="0.3">
      <c r="A384" s="8" t="s">
        <v>23</v>
      </c>
      <c r="B384" s="11">
        <v>50</v>
      </c>
      <c r="C384" s="11" t="s">
        <v>9</v>
      </c>
      <c r="D384" s="11">
        <v>16</v>
      </c>
      <c r="E384" s="20">
        <v>1.47</v>
      </c>
      <c r="F384" s="11" t="s">
        <v>13</v>
      </c>
      <c r="G384" s="11" t="s">
        <v>16</v>
      </c>
      <c r="H384" s="12">
        <v>46630</v>
      </c>
      <c r="I384" s="12"/>
      <c r="J384" s="13"/>
      <c r="K384" t="str">
        <f t="shared" si="5"/>
        <v>DE50-SDR11</v>
      </c>
      <c r="L384" s="1">
        <f>VLOOKUP(K384,'[1]Tarif - Evolution Marché'!$F:$I,4,0)</f>
        <v>1.4716640555555556</v>
      </c>
    </row>
    <row r="385" spans="1:12" x14ac:dyDescent="0.3">
      <c r="A385" s="14" t="s">
        <v>23</v>
      </c>
      <c r="B385" s="15">
        <v>63</v>
      </c>
      <c r="C385" s="15" t="s">
        <v>9</v>
      </c>
      <c r="D385" s="15">
        <v>16</v>
      </c>
      <c r="E385" s="20">
        <v>2.3199999999999998</v>
      </c>
      <c r="F385" s="15" t="s">
        <v>13</v>
      </c>
      <c r="G385" s="15" t="s">
        <v>16</v>
      </c>
      <c r="H385" s="17">
        <v>46630</v>
      </c>
      <c r="I385" s="17"/>
      <c r="J385" s="18"/>
      <c r="K385" t="str">
        <f t="shared" si="5"/>
        <v>DE63-SDR11</v>
      </c>
      <c r="L385" s="1">
        <f>VLOOKUP(K385,'[1]Tarif - Evolution Marché'!$F:$I,4,0)</f>
        <v>2.3179255555555556</v>
      </c>
    </row>
    <row r="386" spans="1:12" x14ac:dyDescent="0.3">
      <c r="A386" s="8" t="s">
        <v>23</v>
      </c>
      <c r="B386" s="11">
        <v>75</v>
      </c>
      <c r="C386" s="11" t="s">
        <v>9</v>
      </c>
      <c r="D386" s="11">
        <v>16</v>
      </c>
      <c r="E386" s="20">
        <v>3.24</v>
      </c>
      <c r="F386" s="11" t="s">
        <v>13</v>
      </c>
      <c r="G386" s="11" t="s">
        <v>16</v>
      </c>
      <c r="H386" s="12">
        <v>46630</v>
      </c>
      <c r="I386" s="12"/>
      <c r="J386" s="13"/>
      <c r="K386" t="str">
        <f t="shared" si="5"/>
        <v>DE75-SDR11</v>
      </c>
      <c r="L386" s="1">
        <f>VLOOKUP(K386,'[1]Tarif - Evolution Marché'!$F:$I,4,0)</f>
        <v>3.2363488888888887</v>
      </c>
    </row>
    <row r="387" spans="1:12" x14ac:dyDescent="0.3">
      <c r="A387" s="14" t="s">
        <v>23</v>
      </c>
      <c r="B387" s="15">
        <v>90</v>
      </c>
      <c r="C387" s="15" t="s">
        <v>9</v>
      </c>
      <c r="D387" s="15">
        <v>16</v>
      </c>
      <c r="E387" s="20">
        <v>4.68</v>
      </c>
      <c r="F387" s="15" t="s">
        <v>13</v>
      </c>
      <c r="G387" s="15" t="s">
        <v>16</v>
      </c>
      <c r="H387" s="17">
        <v>46630</v>
      </c>
      <c r="I387" s="17"/>
      <c r="J387" s="18"/>
      <c r="K387" t="str">
        <f t="shared" ref="K387:K450" si="6">CONCATENATE("DE",B387,"-",C387)</f>
        <v>DE90-SDR11</v>
      </c>
      <c r="L387" s="1">
        <f>VLOOKUP(K387,'[1]Tarif - Evolution Marché'!$F:$I,4,0)</f>
        <v>4.6795855555555557</v>
      </c>
    </row>
    <row r="388" spans="1:12" x14ac:dyDescent="0.3">
      <c r="A388" s="8" t="s">
        <v>23</v>
      </c>
      <c r="B388" s="11">
        <v>110</v>
      </c>
      <c r="C388" s="11" t="s">
        <v>9</v>
      </c>
      <c r="D388" s="11">
        <v>16</v>
      </c>
      <c r="E388" s="20">
        <v>6.95</v>
      </c>
      <c r="F388" s="11" t="s">
        <v>13</v>
      </c>
      <c r="G388" s="11" t="s">
        <v>16</v>
      </c>
      <c r="H388" s="12">
        <v>46630</v>
      </c>
      <c r="I388" s="12"/>
      <c r="J388" s="13"/>
      <c r="K388" t="str">
        <f t="shared" si="6"/>
        <v>DE110-SDR11</v>
      </c>
      <c r="L388" s="1">
        <f>VLOOKUP(K388,'[1]Tarif - Evolution Marché'!$F:$I,4,0)</f>
        <v>6.9537766666666663</v>
      </c>
    </row>
    <row r="389" spans="1:12" x14ac:dyDescent="0.3">
      <c r="A389" s="14" t="s">
        <v>23</v>
      </c>
      <c r="B389" s="15">
        <v>125</v>
      </c>
      <c r="C389" s="15" t="s">
        <v>9</v>
      </c>
      <c r="D389" s="15">
        <v>16</v>
      </c>
      <c r="E389" s="20">
        <v>9.01</v>
      </c>
      <c r="F389" s="15" t="s">
        <v>13</v>
      </c>
      <c r="G389" s="15" t="s">
        <v>16</v>
      </c>
      <c r="H389" s="17">
        <v>46630</v>
      </c>
      <c r="I389" s="15">
        <v>2400</v>
      </c>
      <c r="J389" s="18">
        <v>2800</v>
      </c>
      <c r="K389" t="str">
        <f t="shared" si="6"/>
        <v>DE125-SDR11</v>
      </c>
      <c r="L389" s="1">
        <f>VLOOKUP(K389,'[1]Tarif - Evolution Marché'!$F:$I,4,0)</f>
        <v>9.0092955555555552</v>
      </c>
    </row>
    <row r="390" spans="1:12" x14ac:dyDescent="0.3">
      <c r="A390" s="8" t="s">
        <v>23</v>
      </c>
      <c r="B390" s="11">
        <v>140</v>
      </c>
      <c r="C390" s="11" t="s">
        <v>9</v>
      </c>
      <c r="D390" s="11">
        <v>16</v>
      </c>
      <c r="E390" s="20">
        <v>11.22</v>
      </c>
      <c r="F390" s="11" t="s">
        <v>13</v>
      </c>
      <c r="G390" s="11" t="s">
        <v>16</v>
      </c>
      <c r="H390" s="12">
        <v>46630</v>
      </c>
      <c r="I390" s="11">
        <v>1920</v>
      </c>
      <c r="J390" s="13">
        <v>2240</v>
      </c>
      <c r="K390" t="str">
        <f t="shared" si="6"/>
        <v>DE140-SDR11</v>
      </c>
      <c r="L390" s="1">
        <f>VLOOKUP(K390,'[1]Tarif - Evolution Marché'!$F:$I,4,0)</f>
        <v>11.217884999999999</v>
      </c>
    </row>
    <row r="391" spans="1:12" x14ac:dyDescent="0.3">
      <c r="A391" s="14" t="s">
        <v>23</v>
      </c>
      <c r="B391" s="15">
        <v>160</v>
      </c>
      <c r="C391" s="15" t="s">
        <v>9</v>
      </c>
      <c r="D391" s="15">
        <v>16</v>
      </c>
      <c r="E391" s="20">
        <v>14.74</v>
      </c>
      <c r="F391" s="15" t="s">
        <v>13</v>
      </c>
      <c r="G391" s="15" t="s">
        <v>16</v>
      </c>
      <c r="H391" s="17">
        <v>46630</v>
      </c>
      <c r="I391" s="15">
        <v>1920</v>
      </c>
      <c r="J391" s="18">
        <v>2240</v>
      </c>
      <c r="K391" t="str">
        <f t="shared" si="6"/>
        <v>DE160-SDR11</v>
      </c>
      <c r="L391" s="1">
        <f>VLOOKUP(K391,'[1]Tarif - Evolution Marché'!$F:$I,4,0)</f>
        <v>14.738507777777777</v>
      </c>
    </row>
    <row r="392" spans="1:12" x14ac:dyDescent="0.3">
      <c r="A392" s="8" t="s">
        <v>23</v>
      </c>
      <c r="B392" s="11">
        <v>180</v>
      </c>
      <c r="C392" s="11" t="s">
        <v>9</v>
      </c>
      <c r="D392" s="11">
        <v>16</v>
      </c>
      <c r="E392" s="20">
        <v>18.61</v>
      </c>
      <c r="F392" s="11" t="s">
        <v>13</v>
      </c>
      <c r="G392" s="11" t="s">
        <v>16</v>
      </c>
      <c r="H392" s="12">
        <v>46630</v>
      </c>
      <c r="I392" s="11">
        <v>1200</v>
      </c>
      <c r="J392" s="13">
        <v>1400</v>
      </c>
      <c r="K392" t="str">
        <f t="shared" si="6"/>
        <v>DE180-SDR11</v>
      </c>
      <c r="L392" s="1">
        <f>VLOOKUP(K392,'[1]Tarif - Evolution Marché'!$F:$I,4,0)</f>
        <v>18.60900611111111</v>
      </c>
    </row>
    <row r="393" spans="1:12" x14ac:dyDescent="0.3">
      <c r="A393" s="14" t="s">
        <v>23</v>
      </c>
      <c r="B393" s="15">
        <v>200</v>
      </c>
      <c r="C393" s="15" t="s">
        <v>9</v>
      </c>
      <c r="D393" s="15">
        <v>16</v>
      </c>
      <c r="E393" s="20">
        <v>22.96</v>
      </c>
      <c r="F393" s="15" t="s">
        <v>13</v>
      </c>
      <c r="G393" s="15" t="s">
        <v>16</v>
      </c>
      <c r="H393" s="17">
        <v>46630</v>
      </c>
      <c r="I393" s="15">
        <v>960</v>
      </c>
      <c r="J393" s="18">
        <v>1120</v>
      </c>
      <c r="K393" t="str">
        <f t="shared" si="6"/>
        <v>DE200-SDR11</v>
      </c>
      <c r="L393" s="1">
        <f>VLOOKUP(K393,'[1]Tarif - Evolution Marché'!$F:$I,4,0)</f>
        <v>22.960583333333332</v>
      </c>
    </row>
    <row r="394" spans="1:12" x14ac:dyDescent="0.3">
      <c r="A394" s="8" t="s">
        <v>23</v>
      </c>
      <c r="B394" s="11">
        <v>225</v>
      </c>
      <c r="C394" s="11" t="s">
        <v>9</v>
      </c>
      <c r="D394" s="11">
        <v>16</v>
      </c>
      <c r="E394" s="20">
        <v>29.08</v>
      </c>
      <c r="F394" s="11" t="s">
        <v>13</v>
      </c>
      <c r="G394" s="11" t="s">
        <v>16</v>
      </c>
      <c r="H394" s="12">
        <v>46630</v>
      </c>
      <c r="I394" s="11">
        <v>960</v>
      </c>
      <c r="J394" s="13">
        <v>1120</v>
      </c>
      <c r="K394" t="str">
        <f t="shared" si="6"/>
        <v>DE225-SDR11</v>
      </c>
      <c r="L394" s="1">
        <f>VLOOKUP(K394,'[1]Tarif - Evolution Marché'!$F:$I,4,0)</f>
        <v>29.083405555555554</v>
      </c>
    </row>
    <row r="395" spans="1:12" x14ac:dyDescent="0.3">
      <c r="A395" s="14" t="s">
        <v>23</v>
      </c>
      <c r="B395" s="15">
        <v>250</v>
      </c>
      <c r="C395" s="15" t="s">
        <v>9</v>
      </c>
      <c r="D395" s="15">
        <v>16</v>
      </c>
      <c r="E395" s="20">
        <v>35.64</v>
      </c>
      <c r="F395" s="15" t="s">
        <v>13</v>
      </c>
      <c r="G395" s="15" t="s">
        <v>16</v>
      </c>
      <c r="H395" s="17">
        <v>46630</v>
      </c>
      <c r="I395" s="15">
        <v>672</v>
      </c>
      <c r="J395" s="18">
        <v>784</v>
      </c>
      <c r="K395" t="str">
        <f t="shared" si="6"/>
        <v>DE250-SDR11</v>
      </c>
      <c r="L395" s="1">
        <f>VLOOKUP(K395,'[1]Tarif - Evolution Marché'!$F:$I,4,0)</f>
        <v>35.643572222222218</v>
      </c>
    </row>
    <row r="396" spans="1:12" x14ac:dyDescent="0.3">
      <c r="A396" s="8" t="s">
        <v>23</v>
      </c>
      <c r="B396" s="11">
        <v>280</v>
      </c>
      <c r="C396" s="11" t="s">
        <v>9</v>
      </c>
      <c r="D396" s="11">
        <v>16</v>
      </c>
      <c r="E396" s="20">
        <v>44.83</v>
      </c>
      <c r="F396" s="11" t="s">
        <v>13</v>
      </c>
      <c r="G396" s="11" t="s">
        <v>16</v>
      </c>
      <c r="H396" s="12">
        <v>46630</v>
      </c>
      <c r="I396" s="11">
        <v>672</v>
      </c>
      <c r="J396" s="13">
        <v>784</v>
      </c>
      <c r="K396" t="str">
        <f t="shared" si="6"/>
        <v>DE280-SDR11</v>
      </c>
      <c r="L396" s="1">
        <f>VLOOKUP(K396,'[1]Tarif - Evolution Marché'!$F:$I,4,0)</f>
        <v>44.82780555555555</v>
      </c>
    </row>
    <row r="397" spans="1:12" x14ac:dyDescent="0.3">
      <c r="A397" s="14" t="s">
        <v>23</v>
      </c>
      <c r="B397" s="15">
        <v>315</v>
      </c>
      <c r="C397" s="15" t="s">
        <v>9</v>
      </c>
      <c r="D397" s="15">
        <v>16</v>
      </c>
      <c r="E397" s="20">
        <v>56.64</v>
      </c>
      <c r="F397" s="15" t="s">
        <v>13</v>
      </c>
      <c r="G397" s="15" t="s">
        <v>16</v>
      </c>
      <c r="H397" s="17">
        <v>46630</v>
      </c>
      <c r="I397" s="15">
        <v>432</v>
      </c>
      <c r="J397" s="18">
        <v>504</v>
      </c>
      <c r="K397" t="str">
        <f t="shared" si="6"/>
        <v>DE315-SDR11</v>
      </c>
      <c r="L397" s="1">
        <f>VLOOKUP(K397,'[1]Tarif - Evolution Marché'!$F:$I,4,0)</f>
        <v>56.636105555555545</v>
      </c>
    </row>
    <row r="398" spans="1:12" x14ac:dyDescent="0.3">
      <c r="A398" s="8" t="s">
        <v>23</v>
      </c>
      <c r="B398" s="11">
        <v>355</v>
      </c>
      <c r="C398" s="11" t="s">
        <v>9</v>
      </c>
      <c r="D398" s="11">
        <v>16</v>
      </c>
      <c r="E398" s="20">
        <v>71.94</v>
      </c>
      <c r="F398" s="11" t="s">
        <v>13</v>
      </c>
      <c r="G398" s="11" t="s">
        <v>16</v>
      </c>
      <c r="H398" s="12">
        <v>46630</v>
      </c>
      <c r="I398" s="11">
        <v>360</v>
      </c>
      <c r="J398" s="13">
        <v>420</v>
      </c>
      <c r="K398" t="str">
        <f t="shared" si="6"/>
        <v>DE355-SDR11</v>
      </c>
      <c r="L398" s="1">
        <f>VLOOKUP(K398,'[1]Tarif - Evolution Marché'!$F:$I,4,0)</f>
        <v>71.943161111111095</v>
      </c>
    </row>
    <row r="399" spans="1:12" x14ac:dyDescent="0.3">
      <c r="A399" s="14" t="s">
        <v>23</v>
      </c>
      <c r="B399" s="15">
        <v>400</v>
      </c>
      <c r="C399" s="15" t="s">
        <v>9</v>
      </c>
      <c r="D399" s="15">
        <v>16</v>
      </c>
      <c r="E399" s="20">
        <v>91.19</v>
      </c>
      <c r="F399" s="15" t="s">
        <v>13</v>
      </c>
      <c r="G399" s="15" t="s">
        <v>16</v>
      </c>
      <c r="H399" s="17">
        <v>46630</v>
      </c>
      <c r="I399" s="15">
        <v>360</v>
      </c>
      <c r="J399" s="18">
        <v>420</v>
      </c>
      <c r="K399" t="str">
        <f t="shared" si="6"/>
        <v>DE400-SDR11</v>
      </c>
      <c r="L399" s="1">
        <f>VLOOKUP(K399,'[1]Tarif - Evolution Marché'!$F:$I,4,0)</f>
        <v>91.18631666666667</v>
      </c>
    </row>
    <row r="400" spans="1:12" x14ac:dyDescent="0.3">
      <c r="A400" s="8" t="s">
        <v>23</v>
      </c>
      <c r="B400" s="11">
        <v>450</v>
      </c>
      <c r="C400" s="11" t="s">
        <v>9</v>
      </c>
      <c r="D400" s="11">
        <v>16</v>
      </c>
      <c r="E400" s="20">
        <v>115.46</v>
      </c>
      <c r="F400" s="11" t="s">
        <v>13</v>
      </c>
      <c r="G400" s="11" t="s">
        <v>16</v>
      </c>
      <c r="H400" s="12">
        <v>46630</v>
      </c>
      <c r="I400" s="11">
        <v>192</v>
      </c>
      <c r="J400" s="13">
        <v>224</v>
      </c>
      <c r="K400" t="str">
        <f t="shared" si="6"/>
        <v>DE450-SDR11</v>
      </c>
      <c r="L400" s="1">
        <f>VLOOKUP(K400,'[1]Tarif - Evolution Marché'!$F:$I,4,0)</f>
        <v>115.45893333333332</v>
      </c>
    </row>
    <row r="401" spans="1:12" x14ac:dyDescent="0.3">
      <c r="A401" s="14" t="s">
        <v>23</v>
      </c>
      <c r="B401" s="15">
        <v>500</v>
      </c>
      <c r="C401" s="15" t="s">
        <v>9</v>
      </c>
      <c r="D401" s="15">
        <v>16</v>
      </c>
      <c r="E401" s="20">
        <v>142.57</v>
      </c>
      <c r="F401" s="15" t="s">
        <v>13</v>
      </c>
      <c r="G401" s="15" t="s">
        <v>16</v>
      </c>
      <c r="H401" s="17">
        <v>46630</v>
      </c>
      <c r="I401" s="15">
        <v>192</v>
      </c>
      <c r="J401" s="18">
        <v>224</v>
      </c>
      <c r="K401" t="str">
        <f t="shared" si="6"/>
        <v>DE500-SDR11</v>
      </c>
      <c r="L401" s="1">
        <f>VLOOKUP(K401,'[1]Tarif - Evolution Marché'!$F:$I,4,0)</f>
        <v>142.57428888888887</v>
      </c>
    </row>
    <row r="402" spans="1:12" x14ac:dyDescent="0.3">
      <c r="A402" s="8" t="s">
        <v>23</v>
      </c>
      <c r="B402" s="11">
        <v>560</v>
      </c>
      <c r="C402" s="11" t="s">
        <v>9</v>
      </c>
      <c r="D402" s="11">
        <v>16</v>
      </c>
      <c r="E402" s="20">
        <v>178.66</v>
      </c>
      <c r="F402" s="11" t="s">
        <v>13</v>
      </c>
      <c r="G402" s="11" t="s">
        <v>16</v>
      </c>
      <c r="H402" s="12">
        <v>46630</v>
      </c>
      <c r="I402" s="11">
        <v>192</v>
      </c>
      <c r="J402" s="13">
        <v>224</v>
      </c>
      <c r="K402" t="str">
        <f t="shared" si="6"/>
        <v>DE560-SDR11</v>
      </c>
      <c r="L402" s="1">
        <f>VLOOKUP(K402,'[1]Tarif - Evolution Marché'!$F:$I,4,0)</f>
        <v>178.65520555555554</v>
      </c>
    </row>
    <row r="403" spans="1:12" x14ac:dyDescent="0.3">
      <c r="A403" s="14" t="s">
        <v>23</v>
      </c>
      <c r="B403" s="15">
        <v>630</v>
      </c>
      <c r="C403" s="15" t="s">
        <v>9</v>
      </c>
      <c r="D403" s="15">
        <v>16</v>
      </c>
      <c r="E403" s="20">
        <v>225.23</v>
      </c>
      <c r="F403" s="15" t="s">
        <v>13</v>
      </c>
      <c r="G403" s="15" t="s">
        <v>16</v>
      </c>
      <c r="H403" s="17">
        <v>46630</v>
      </c>
      <c r="I403" s="15">
        <v>108</v>
      </c>
      <c r="J403" s="18">
        <v>126</v>
      </c>
      <c r="K403" t="str">
        <f t="shared" si="6"/>
        <v>DE630-SDR11</v>
      </c>
      <c r="L403" s="1">
        <f>VLOOKUP(K403,'[1]Tarif - Evolution Marché'!$F:$I,4,0)</f>
        <v>225.23238888888886</v>
      </c>
    </row>
    <row r="404" spans="1:12" x14ac:dyDescent="0.3">
      <c r="A404" s="8" t="s">
        <v>23</v>
      </c>
      <c r="B404" s="11">
        <v>710</v>
      </c>
      <c r="C404" s="11" t="s">
        <v>9</v>
      </c>
      <c r="D404" s="11">
        <v>16</v>
      </c>
      <c r="E404" s="20">
        <v>286.45999999999998</v>
      </c>
      <c r="F404" s="11" t="s">
        <v>13</v>
      </c>
      <c r="G404" s="11" t="s">
        <v>16</v>
      </c>
      <c r="H404" s="12">
        <v>46630</v>
      </c>
      <c r="I404" s="11">
        <v>108</v>
      </c>
      <c r="J404" s="13">
        <v>126</v>
      </c>
      <c r="K404" t="str">
        <f t="shared" si="6"/>
        <v>DE710-SDR11</v>
      </c>
      <c r="L404" s="1">
        <f>VLOOKUP(K404,'[1]Tarif - Evolution Marché'!$F:$I,4,0)</f>
        <v>286.46061111111106</v>
      </c>
    </row>
    <row r="405" spans="1:12" x14ac:dyDescent="0.3">
      <c r="A405" s="14" t="s">
        <v>23</v>
      </c>
      <c r="B405" s="15">
        <v>16</v>
      </c>
      <c r="C405" s="15" t="s">
        <v>10</v>
      </c>
      <c r="D405" s="15">
        <v>20</v>
      </c>
      <c r="E405" s="20">
        <v>0.2</v>
      </c>
      <c r="F405" s="15" t="s">
        <v>13</v>
      </c>
      <c r="G405" s="15" t="s">
        <v>16</v>
      </c>
      <c r="H405" s="17">
        <v>46630</v>
      </c>
      <c r="I405" s="17"/>
      <c r="J405" s="18"/>
      <c r="K405" t="str">
        <f t="shared" si="6"/>
        <v>DE16-SDR9</v>
      </c>
      <c r="L405" s="1">
        <f>VLOOKUP(K405,'[1]Tarif - Evolution Marché'!$F:$I,4,0)</f>
        <v>0.20117844444444441</v>
      </c>
    </row>
    <row r="406" spans="1:12" x14ac:dyDescent="0.3">
      <c r="A406" s="8" t="s">
        <v>23</v>
      </c>
      <c r="B406" s="11">
        <v>20</v>
      </c>
      <c r="C406" s="11" t="s">
        <v>10</v>
      </c>
      <c r="D406" s="11">
        <v>20</v>
      </c>
      <c r="E406" s="20">
        <v>0.28999999999999998</v>
      </c>
      <c r="F406" s="11" t="s">
        <v>13</v>
      </c>
      <c r="G406" s="11" t="s">
        <v>16</v>
      </c>
      <c r="H406" s="12">
        <v>46630</v>
      </c>
      <c r="I406" s="12"/>
      <c r="J406" s="13"/>
      <c r="K406" t="str">
        <f t="shared" si="6"/>
        <v>DE20-SDR9</v>
      </c>
      <c r="L406" s="1">
        <f>VLOOKUP(K406,'[1]Tarif - Evolution Marché'!$F:$I,4,0)</f>
        <v>0.29302077777777774</v>
      </c>
    </row>
    <row r="407" spans="1:12" x14ac:dyDescent="0.3">
      <c r="A407" s="14" t="s">
        <v>23</v>
      </c>
      <c r="B407" s="15">
        <v>25</v>
      </c>
      <c r="C407" s="15" t="s">
        <v>10</v>
      </c>
      <c r="D407" s="15">
        <v>20</v>
      </c>
      <c r="E407" s="20">
        <v>0.44</v>
      </c>
      <c r="F407" s="15" t="s">
        <v>13</v>
      </c>
      <c r="G407" s="15" t="s">
        <v>16</v>
      </c>
      <c r="H407" s="17">
        <v>46630</v>
      </c>
      <c r="I407" s="17"/>
      <c r="J407" s="18"/>
      <c r="K407" t="str">
        <f t="shared" si="6"/>
        <v>DE25-SDR9</v>
      </c>
      <c r="L407" s="1">
        <f>VLOOKUP(K407,'[1]Tarif - Evolution Marché'!$F:$I,4,0)</f>
        <v>0.44171788888888885</v>
      </c>
    </row>
    <row r="408" spans="1:12" x14ac:dyDescent="0.3">
      <c r="A408" s="8" t="s">
        <v>23</v>
      </c>
      <c r="B408" s="11">
        <v>32</v>
      </c>
      <c r="C408" s="11" t="s">
        <v>10</v>
      </c>
      <c r="D408" s="11">
        <v>20</v>
      </c>
      <c r="E408" s="20">
        <v>0.72</v>
      </c>
      <c r="F408" s="11" t="s">
        <v>13</v>
      </c>
      <c r="G408" s="11" t="s">
        <v>16</v>
      </c>
      <c r="H408" s="12">
        <v>46630</v>
      </c>
      <c r="I408" s="12"/>
      <c r="J408" s="13"/>
      <c r="K408" t="str">
        <f t="shared" si="6"/>
        <v>DE32-SDR9</v>
      </c>
      <c r="L408" s="1">
        <f>VLOOKUP(K408,'[1]Tarif - Evolution Marché'!$F:$I,4,0)</f>
        <v>0.72380505555555552</v>
      </c>
    </row>
    <row r="409" spans="1:12" x14ac:dyDescent="0.3">
      <c r="A409" s="14" t="s">
        <v>23</v>
      </c>
      <c r="B409" s="15">
        <v>40</v>
      </c>
      <c r="C409" s="15" t="s">
        <v>10</v>
      </c>
      <c r="D409" s="15">
        <v>20</v>
      </c>
      <c r="E409" s="20">
        <v>1.1200000000000001</v>
      </c>
      <c r="F409" s="15" t="s">
        <v>13</v>
      </c>
      <c r="G409" s="15" t="s">
        <v>16</v>
      </c>
      <c r="H409" s="17">
        <v>46630</v>
      </c>
      <c r="I409" s="17"/>
      <c r="J409" s="18"/>
      <c r="K409" t="str">
        <f t="shared" si="6"/>
        <v>DE40-SDR9</v>
      </c>
      <c r="L409" s="1">
        <f>VLOOKUP(K409,'[1]Tarif - Evolution Marché'!$F:$I,4,0)</f>
        <v>1.1239752222222221</v>
      </c>
    </row>
    <row r="410" spans="1:12" x14ac:dyDescent="0.3">
      <c r="A410" s="8" t="s">
        <v>23</v>
      </c>
      <c r="B410" s="11">
        <v>50</v>
      </c>
      <c r="C410" s="11" t="s">
        <v>10</v>
      </c>
      <c r="D410" s="11">
        <v>20</v>
      </c>
      <c r="E410" s="20">
        <v>1.74</v>
      </c>
      <c r="F410" s="11" t="s">
        <v>13</v>
      </c>
      <c r="G410" s="11" t="s">
        <v>16</v>
      </c>
      <c r="H410" s="12">
        <v>46630</v>
      </c>
      <c r="I410" s="12"/>
      <c r="J410" s="13"/>
      <c r="K410" t="str">
        <f t="shared" si="6"/>
        <v>DE50-SDR9</v>
      </c>
      <c r="L410" s="1">
        <f>VLOOKUP(K410,'[1]Tarif - Evolution Marché'!$F:$I,4,0)</f>
        <v>1.7406308888888888</v>
      </c>
    </row>
    <row r="411" spans="1:12" x14ac:dyDescent="0.3">
      <c r="A411" s="14" t="s">
        <v>23</v>
      </c>
      <c r="B411" s="15">
        <v>63</v>
      </c>
      <c r="C411" s="15" t="s">
        <v>10</v>
      </c>
      <c r="D411" s="15">
        <v>20</v>
      </c>
      <c r="E411" s="20">
        <v>2.78</v>
      </c>
      <c r="F411" s="15" t="s">
        <v>13</v>
      </c>
      <c r="G411" s="15" t="s">
        <v>16</v>
      </c>
      <c r="H411" s="17">
        <v>46630</v>
      </c>
      <c r="I411" s="17"/>
      <c r="J411" s="18"/>
      <c r="K411" t="str">
        <f t="shared" si="6"/>
        <v>DE63-SDR9</v>
      </c>
      <c r="L411" s="1">
        <f>VLOOKUP(K411,'[1]Tarif - Evolution Marché'!$F:$I,4,0)</f>
        <v>2.7771372222222221</v>
      </c>
    </row>
    <row r="412" spans="1:12" x14ac:dyDescent="0.3">
      <c r="A412" s="8" t="s">
        <v>23</v>
      </c>
      <c r="B412" s="11">
        <v>75</v>
      </c>
      <c r="C412" s="11" t="s">
        <v>10</v>
      </c>
      <c r="D412" s="11">
        <v>20</v>
      </c>
      <c r="E412" s="20">
        <v>3.89</v>
      </c>
      <c r="F412" s="11" t="s">
        <v>13</v>
      </c>
      <c r="G412" s="11" t="s">
        <v>16</v>
      </c>
      <c r="H412" s="12">
        <v>46630</v>
      </c>
      <c r="I412" s="12"/>
      <c r="J412" s="13"/>
      <c r="K412" t="str">
        <f t="shared" si="6"/>
        <v>DE75-SDR9</v>
      </c>
      <c r="L412" s="1">
        <f>VLOOKUP(K412,'[1]Tarif - Evolution Marché'!$F:$I,4,0)</f>
        <v>3.8923655555555552</v>
      </c>
    </row>
    <row r="413" spans="1:12" x14ac:dyDescent="0.3">
      <c r="A413" s="14" t="s">
        <v>23</v>
      </c>
      <c r="B413" s="15">
        <v>90</v>
      </c>
      <c r="C413" s="15" t="s">
        <v>10</v>
      </c>
      <c r="D413" s="15">
        <v>20</v>
      </c>
      <c r="E413" s="20">
        <v>5.62</v>
      </c>
      <c r="F413" s="15" t="s">
        <v>13</v>
      </c>
      <c r="G413" s="15" t="s">
        <v>16</v>
      </c>
      <c r="H413" s="17">
        <v>46630</v>
      </c>
      <c r="I413" s="17"/>
      <c r="J413" s="18"/>
      <c r="K413" t="str">
        <f t="shared" si="6"/>
        <v>DE90-SDR9</v>
      </c>
      <c r="L413" s="1">
        <f>VLOOKUP(K413,'[1]Tarif - Evolution Marché'!$F:$I,4,0)</f>
        <v>5.6198761111111102</v>
      </c>
    </row>
    <row r="414" spans="1:12" x14ac:dyDescent="0.3">
      <c r="A414" s="8" t="s">
        <v>23</v>
      </c>
      <c r="B414" s="11">
        <v>110</v>
      </c>
      <c r="C414" s="11" t="s">
        <v>10</v>
      </c>
      <c r="D414" s="11">
        <v>20</v>
      </c>
      <c r="E414" s="20">
        <v>8.35</v>
      </c>
      <c r="F414" s="11" t="s">
        <v>13</v>
      </c>
      <c r="G414" s="11" t="s">
        <v>16</v>
      </c>
      <c r="H414" s="12">
        <v>46630</v>
      </c>
      <c r="I414" s="12"/>
      <c r="J414" s="13"/>
      <c r="K414" t="str">
        <f t="shared" si="6"/>
        <v>DE110-SDR9</v>
      </c>
      <c r="L414" s="1">
        <f>VLOOKUP(K414,'[1]Tarif - Evolution Marché'!$F:$I,4,0)</f>
        <v>8.3532788888888874</v>
      </c>
    </row>
    <row r="415" spans="1:12" x14ac:dyDescent="0.3">
      <c r="A415" s="14" t="s">
        <v>23</v>
      </c>
      <c r="B415" s="15">
        <v>125</v>
      </c>
      <c r="C415" s="15" t="s">
        <v>10</v>
      </c>
      <c r="D415" s="15">
        <v>20</v>
      </c>
      <c r="E415" s="20">
        <v>10.76</v>
      </c>
      <c r="F415" s="15" t="s">
        <v>13</v>
      </c>
      <c r="G415" s="15" t="s">
        <v>16</v>
      </c>
      <c r="H415" s="17">
        <v>46630</v>
      </c>
      <c r="I415" s="15">
        <v>2400</v>
      </c>
      <c r="J415" s="18">
        <v>2800</v>
      </c>
      <c r="K415" t="str">
        <f t="shared" si="6"/>
        <v>DE125-SDR9</v>
      </c>
      <c r="L415" s="1">
        <f>VLOOKUP(K415,'[1]Tarif - Evolution Marché'!$F:$I,4,0)</f>
        <v>10.758673333333332</v>
      </c>
    </row>
    <row r="416" spans="1:12" x14ac:dyDescent="0.3">
      <c r="A416" s="8" t="s">
        <v>23</v>
      </c>
      <c r="B416" s="11">
        <v>140</v>
      </c>
      <c r="C416" s="11" t="s">
        <v>10</v>
      </c>
      <c r="D416" s="11">
        <v>20</v>
      </c>
      <c r="E416" s="20">
        <v>13.51</v>
      </c>
      <c r="F416" s="11" t="s">
        <v>13</v>
      </c>
      <c r="G416" s="11" t="s">
        <v>16</v>
      </c>
      <c r="H416" s="12">
        <v>46630</v>
      </c>
      <c r="I416" s="11">
        <v>1920</v>
      </c>
      <c r="J416" s="13">
        <v>2240</v>
      </c>
      <c r="K416" t="str">
        <f t="shared" si="6"/>
        <v>DE140-SDR9</v>
      </c>
      <c r="L416" s="1">
        <f>VLOOKUP(K416,'[1]Tarif - Evolution Marché'!$F:$I,4,0)</f>
        <v>13.513943333333332</v>
      </c>
    </row>
    <row r="417" spans="1:12" x14ac:dyDescent="0.3">
      <c r="A417" s="14" t="s">
        <v>23</v>
      </c>
      <c r="B417" s="15">
        <v>160</v>
      </c>
      <c r="C417" s="15" t="s">
        <v>10</v>
      </c>
      <c r="D417" s="15">
        <v>20</v>
      </c>
      <c r="E417" s="20">
        <v>17.579999999999998</v>
      </c>
      <c r="F417" s="15" t="s">
        <v>13</v>
      </c>
      <c r="G417" s="15" t="s">
        <v>16</v>
      </c>
      <c r="H417" s="17">
        <v>46630</v>
      </c>
      <c r="I417" s="15">
        <v>1920</v>
      </c>
      <c r="J417" s="18">
        <v>2240</v>
      </c>
      <c r="K417" t="str">
        <f t="shared" si="6"/>
        <v>DE160-SDR9</v>
      </c>
      <c r="L417" s="1">
        <f>VLOOKUP(K417,'[1]Tarif - Evolution Marché'!$F:$I,4,0)</f>
        <v>17.581246666666662</v>
      </c>
    </row>
    <row r="418" spans="1:12" x14ac:dyDescent="0.3">
      <c r="A418" s="8" t="s">
        <v>23</v>
      </c>
      <c r="B418" s="11">
        <v>180</v>
      </c>
      <c r="C418" s="11" t="s">
        <v>10</v>
      </c>
      <c r="D418" s="11">
        <v>20</v>
      </c>
      <c r="E418" s="20">
        <v>22.3</v>
      </c>
      <c r="F418" s="11" t="s">
        <v>13</v>
      </c>
      <c r="G418" s="11" t="s">
        <v>16</v>
      </c>
      <c r="H418" s="12">
        <v>46630</v>
      </c>
      <c r="I418" s="11">
        <v>1200</v>
      </c>
      <c r="J418" s="13">
        <v>1400</v>
      </c>
      <c r="K418" t="str">
        <f t="shared" si="6"/>
        <v>DE180-SDR9</v>
      </c>
      <c r="L418" s="1">
        <f>VLOOKUP(K418,'[1]Tarif - Evolution Marché'!$F:$I,4,0)</f>
        <v>22.304566666666663</v>
      </c>
    </row>
    <row r="419" spans="1:12" x14ac:dyDescent="0.3">
      <c r="A419" s="14" t="s">
        <v>23</v>
      </c>
      <c r="B419" s="15">
        <v>200</v>
      </c>
      <c r="C419" s="15" t="s">
        <v>10</v>
      </c>
      <c r="D419" s="15">
        <v>20</v>
      </c>
      <c r="E419" s="20">
        <v>27.55</v>
      </c>
      <c r="F419" s="15" t="s">
        <v>13</v>
      </c>
      <c r="G419" s="15" t="s">
        <v>16</v>
      </c>
      <c r="H419" s="17">
        <v>46630</v>
      </c>
      <c r="I419" s="15">
        <v>960</v>
      </c>
      <c r="J419" s="18">
        <v>1120</v>
      </c>
      <c r="K419" t="str">
        <f t="shared" si="6"/>
        <v>DE200-SDR9</v>
      </c>
      <c r="L419" s="1">
        <f>VLOOKUP(K419,'[1]Tarif - Evolution Marché'!$F:$I,4,0)</f>
        <v>27.552699999999998</v>
      </c>
    </row>
    <row r="420" spans="1:12" x14ac:dyDescent="0.3">
      <c r="A420" s="8" t="s">
        <v>23</v>
      </c>
      <c r="B420" s="11">
        <v>225</v>
      </c>
      <c r="C420" s="11" t="s">
        <v>10</v>
      </c>
      <c r="D420" s="11">
        <v>20</v>
      </c>
      <c r="E420" s="20">
        <v>34.770000000000003</v>
      </c>
      <c r="F420" s="11" t="s">
        <v>13</v>
      </c>
      <c r="G420" s="11" t="s">
        <v>16</v>
      </c>
      <c r="H420" s="12">
        <v>46630</v>
      </c>
      <c r="I420" s="11">
        <v>960</v>
      </c>
      <c r="J420" s="13">
        <v>1120</v>
      </c>
      <c r="K420" t="str">
        <f t="shared" si="6"/>
        <v>DE225-SDR9</v>
      </c>
      <c r="L420" s="1">
        <f>VLOOKUP(K420,'[1]Tarif - Evolution Marché'!$F:$I,4,0)</f>
        <v>34.768883333333328</v>
      </c>
    </row>
    <row r="421" spans="1:12" x14ac:dyDescent="0.3">
      <c r="A421" s="14" t="s">
        <v>23</v>
      </c>
      <c r="B421" s="15">
        <v>250</v>
      </c>
      <c r="C421" s="15" t="s">
        <v>10</v>
      </c>
      <c r="D421" s="15">
        <v>20</v>
      </c>
      <c r="E421" s="20">
        <v>42.86</v>
      </c>
      <c r="F421" s="15" t="s">
        <v>13</v>
      </c>
      <c r="G421" s="15" t="s">
        <v>16</v>
      </c>
      <c r="H421" s="17">
        <v>46630</v>
      </c>
      <c r="I421" s="15">
        <v>672</v>
      </c>
      <c r="J421" s="18">
        <v>784</v>
      </c>
      <c r="K421" t="str">
        <f t="shared" si="6"/>
        <v>DE250-SDR9</v>
      </c>
      <c r="L421" s="1">
        <f>VLOOKUP(K421,'[1]Tarif - Evolution Marché'!$F:$I,4,0)</f>
        <v>42.859755555555552</v>
      </c>
    </row>
    <row r="422" spans="1:12" x14ac:dyDescent="0.3">
      <c r="A422" s="8" t="s">
        <v>23</v>
      </c>
      <c r="B422" s="11">
        <v>280</v>
      </c>
      <c r="C422" s="11" t="s">
        <v>10</v>
      </c>
      <c r="D422" s="11">
        <v>20</v>
      </c>
      <c r="E422" s="20">
        <v>53.79</v>
      </c>
      <c r="F422" s="11" t="s">
        <v>13</v>
      </c>
      <c r="G422" s="11" t="s">
        <v>16</v>
      </c>
      <c r="H422" s="12">
        <v>46630</v>
      </c>
      <c r="I422" s="11">
        <v>672</v>
      </c>
      <c r="J422" s="13">
        <v>784</v>
      </c>
      <c r="K422" t="str">
        <f t="shared" si="6"/>
        <v>DE280-SDR9</v>
      </c>
      <c r="L422" s="1">
        <f>VLOOKUP(K422,'[1]Tarif - Evolution Marché'!$F:$I,4,0)</f>
        <v>53.793366666666664</v>
      </c>
    </row>
    <row r="423" spans="1:12" x14ac:dyDescent="0.3">
      <c r="A423" s="14" t="s">
        <v>23</v>
      </c>
      <c r="B423" s="15">
        <v>315</v>
      </c>
      <c r="C423" s="15" t="s">
        <v>10</v>
      </c>
      <c r="D423" s="15">
        <v>20</v>
      </c>
      <c r="E423" s="20">
        <v>68.010000000000005</v>
      </c>
      <c r="F423" s="15" t="s">
        <v>13</v>
      </c>
      <c r="G423" s="15" t="s">
        <v>16</v>
      </c>
      <c r="H423" s="17">
        <v>46630</v>
      </c>
      <c r="I423" s="15">
        <v>432</v>
      </c>
      <c r="J423" s="18">
        <v>504</v>
      </c>
      <c r="K423" t="str">
        <f t="shared" si="6"/>
        <v>DE315-SDR9</v>
      </c>
      <c r="L423" s="1">
        <f>VLOOKUP(K423,'[1]Tarif - Evolution Marché'!$F:$I,4,0)</f>
        <v>68.007061111111113</v>
      </c>
    </row>
    <row r="424" spans="1:12" x14ac:dyDescent="0.3">
      <c r="A424" s="8" t="s">
        <v>23</v>
      </c>
      <c r="B424" s="11">
        <v>355</v>
      </c>
      <c r="C424" s="11" t="s">
        <v>10</v>
      </c>
      <c r="D424" s="11">
        <v>20</v>
      </c>
      <c r="E424" s="20">
        <v>86.38</v>
      </c>
      <c r="F424" s="11" t="s">
        <v>13</v>
      </c>
      <c r="G424" s="11" t="s">
        <v>16</v>
      </c>
      <c r="H424" s="12">
        <v>46630</v>
      </c>
      <c r="I424" s="11">
        <v>360</v>
      </c>
      <c r="J424" s="13">
        <v>420</v>
      </c>
      <c r="K424" t="str">
        <f t="shared" si="6"/>
        <v>DE355-SDR9</v>
      </c>
      <c r="L424" s="1">
        <f>VLOOKUP(K424,'[1]Tarif - Evolution Marché'!$F:$I,4,0)</f>
        <v>86.375527777777776</v>
      </c>
    </row>
    <row r="425" spans="1:12" x14ac:dyDescent="0.3">
      <c r="A425" s="14" t="s">
        <v>23</v>
      </c>
      <c r="B425" s="15">
        <v>400</v>
      </c>
      <c r="C425" s="15" t="s">
        <v>10</v>
      </c>
      <c r="D425" s="15">
        <v>20</v>
      </c>
      <c r="E425" s="20">
        <v>109.55</v>
      </c>
      <c r="F425" s="15" t="s">
        <v>13</v>
      </c>
      <c r="G425" s="15" t="s">
        <v>16</v>
      </c>
      <c r="H425" s="17">
        <v>46630</v>
      </c>
      <c r="I425" s="15">
        <v>360</v>
      </c>
      <c r="J425" s="18">
        <v>420</v>
      </c>
      <c r="K425" t="str">
        <f t="shared" si="6"/>
        <v>DE400-SDR9</v>
      </c>
      <c r="L425" s="1">
        <f>VLOOKUP(K425,'[1]Tarif - Evolution Marché'!$F:$I,4,0)</f>
        <v>109.55478333333333</v>
      </c>
    </row>
    <row r="426" spans="1:12" x14ac:dyDescent="0.3">
      <c r="A426" s="8" t="s">
        <v>23</v>
      </c>
      <c r="B426" s="11">
        <v>450</v>
      </c>
      <c r="C426" s="11" t="s">
        <v>10</v>
      </c>
      <c r="D426" s="11">
        <v>20</v>
      </c>
      <c r="E426" s="20">
        <v>138.63999999999999</v>
      </c>
      <c r="F426" s="11" t="s">
        <v>13</v>
      </c>
      <c r="G426" s="11" t="s">
        <v>16</v>
      </c>
      <c r="H426" s="12">
        <v>46630</v>
      </c>
      <c r="I426" s="11">
        <v>192</v>
      </c>
      <c r="J426" s="13">
        <v>224</v>
      </c>
      <c r="K426" t="str">
        <f t="shared" si="6"/>
        <v>DE450-SDR9</v>
      </c>
      <c r="L426" s="1">
        <f>VLOOKUP(K426,'[1]Tarif - Evolution Marché'!$F:$I,4,0)</f>
        <v>138.63818888888886</v>
      </c>
    </row>
    <row r="427" spans="1:12" x14ac:dyDescent="0.3">
      <c r="A427" s="14" t="s">
        <v>23</v>
      </c>
      <c r="B427" s="15">
        <v>500</v>
      </c>
      <c r="C427" s="15" t="s">
        <v>10</v>
      </c>
      <c r="D427" s="15">
        <v>20</v>
      </c>
      <c r="E427" s="20">
        <v>170.78</v>
      </c>
      <c r="F427" s="15" t="s">
        <v>13</v>
      </c>
      <c r="G427" s="15" t="s">
        <v>16</v>
      </c>
      <c r="H427" s="17">
        <v>46630</v>
      </c>
      <c r="I427" s="15">
        <v>192</v>
      </c>
      <c r="J427" s="18">
        <v>224</v>
      </c>
      <c r="K427" t="str">
        <f t="shared" si="6"/>
        <v>DE500-SDR9</v>
      </c>
      <c r="L427" s="1">
        <f>VLOOKUP(K427,'[1]Tarif - Evolution Marché'!$F:$I,4,0)</f>
        <v>170.78300555555552</v>
      </c>
    </row>
    <row r="428" spans="1:12" x14ac:dyDescent="0.3">
      <c r="A428" s="8" t="s">
        <v>23</v>
      </c>
      <c r="B428" s="11">
        <v>560</v>
      </c>
      <c r="C428" s="11" t="s">
        <v>10</v>
      </c>
      <c r="D428" s="11">
        <v>20</v>
      </c>
      <c r="E428" s="20">
        <v>214.3</v>
      </c>
      <c r="F428" s="11" t="s">
        <v>13</v>
      </c>
      <c r="G428" s="11" t="s">
        <v>16</v>
      </c>
      <c r="H428" s="12">
        <v>46630</v>
      </c>
      <c r="I428" s="11">
        <v>192</v>
      </c>
      <c r="J428" s="13">
        <v>224</v>
      </c>
      <c r="K428" t="str">
        <f t="shared" si="6"/>
        <v>DE560-SDR9</v>
      </c>
      <c r="L428" s="1">
        <f>VLOOKUP(K428,'[1]Tarif - Evolution Marché'!$F:$I,4,0)</f>
        <v>214.29877777777776</v>
      </c>
    </row>
    <row r="429" spans="1:12" x14ac:dyDescent="0.3">
      <c r="A429" s="14" t="s">
        <v>23</v>
      </c>
      <c r="B429" s="15">
        <v>16</v>
      </c>
      <c r="C429" s="15" t="s">
        <v>11</v>
      </c>
      <c r="D429" s="15">
        <v>25</v>
      </c>
      <c r="E429" s="20">
        <v>0.23</v>
      </c>
      <c r="F429" s="15" t="s">
        <v>13</v>
      </c>
      <c r="G429" s="15" t="s">
        <v>16</v>
      </c>
      <c r="H429" s="17">
        <v>46630</v>
      </c>
      <c r="I429" s="17"/>
      <c r="J429" s="18"/>
      <c r="K429" t="str">
        <f t="shared" si="6"/>
        <v>DE16-SDR7,4</v>
      </c>
      <c r="L429" s="1">
        <f>VLOOKUP(K429,'[1]Tarif - Evolution Marché'!$F:$I,4,0)</f>
        <v>0.22523238888888886</v>
      </c>
    </row>
    <row r="430" spans="1:12" x14ac:dyDescent="0.3">
      <c r="A430" s="8" t="s">
        <v>23</v>
      </c>
      <c r="B430" s="11">
        <v>20</v>
      </c>
      <c r="C430" s="11" t="s">
        <v>11</v>
      </c>
      <c r="D430" s="11">
        <v>25</v>
      </c>
      <c r="E430" s="20">
        <v>0.36</v>
      </c>
      <c r="F430" s="11" t="s">
        <v>13</v>
      </c>
      <c r="G430" s="11" t="s">
        <v>16</v>
      </c>
      <c r="H430" s="12">
        <v>46630</v>
      </c>
      <c r="I430" s="12"/>
      <c r="J430" s="13"/>
      <c r="K430" t="str">
        <f t="shared" si="6"/>
        <v>DE20-SDR7,4</v>
      </c>
      <c r="L430" s="1">
        <f>VLOOKUP(K430,'[1]Tarif - Evolution Marché'!$F:$I,4,0)</f>
        <v>0.35862244444444441</v>
      </c>
    </row>
    <row r="431" spans="1:12" x14ac:dyDescent="0.3">
      <c r="A431" s="14" t="s">
        <v>23</v>
      </c>
      <c r="B431" s="15">
        <v>25</v>
      </c>
      <c r="C431" s="15" t="s">
        <v>11</v>
      </c>
      <c r="D431" s="15">
        <v>25</v>
      </c>
      <c r="E431" s="20">
        <v>0.53</v>
      </c>
      <c r="F431" s="15" t="s">
        <v>13</v>
      </c>
      <c r="G431" s="15" t="s">
        <v>16</v>
      </c>
      <c r="H431" s="17">
        <v>46630</v>
      </c>
      <c r="I431" s="17"/>
      <c r="J431" s="18"/>
      <c r="K431" t="str">
        <f t="shared" si="6"/>
        <v>DE25-SDR7,4</v>
      </c>
      <c r="L431" s="1">
        <f>VLOOKUP(K431,'[1]Tarif - Evolution Marché'!$F:$I,4,0)</f>
        <v>0.53137349999999994</v>
      </c>
    </row>
    <row r="432" spans="1:12" x14ac:dyDescent="0.3">
      <c r="A432" s="8" t="s">
        <v>23</v>
      </c>
      <c r="B432" s="11">
        <v>32</v>
      </c>
      <c r="C432" s="11" t="s">
        <v>11</v>
      </c>
      <c r="D432" s="11">
        <v>25</v>
      </c>
      <c r="E432" s="20">
        <v>0.85</v>
      </c>
      <c r="F432" s="11" t="s">
        <v>13</v>
      </c>
      <c r="G432" s="11" t="s">
        <v>16</v>
      </c>
      <c r="H432" s="12">
        <v>46630</v>
      </c>
      <c r="I432" s="12"/>
      <c r="J432" s="13"/>
      <c r="K432" t="str">
        <f t="shared" si="6"/>
        <v>DE32-SDR7,4</v>
      </c>
      <c r="L432" s="1">
        <f>VLOOKUP(K432,'[1]Tarif - Evolution Marché'!$F:$I,4,0)</f>
        <v>0.85282166666666659</v>
      </c>
    </row>
    <row r="433" spans="1:12" x14ac:dyDescent="0.3">
      <c r="A433" s="14" t="s">
        <v>23</v>
      </c>
      <c r="B433" s="15">
        <v>40</v>
      </c>
      <c r="C433" s="15" t="s">
        <v>11</v>
      </c>
      <c r="D433" s="15">
        <v>25</v>
      </c>
      <c r="E433" s="20">
        <v>1.33</v>
      </c>
      <c r="F433" s="15" t="s">
        <v>13</v>
      </c>
      <c r="G433" s="15" t="s">
        <v>16</v>
      </c>
      <c r="H433" s="17">
        <v>46630</v>
      </c>
      <c r="I433" s="17"/>
      <c r="J433" s="18"/>
      <c r="K433" t="str">
        <f t="shared" si="6"/>
        <v>DE40-SDR7,4</v>
      </c>
      <c r="L433" s="1">
        <f>VLOOKUP(K433,'[1]Tarif - Evolution Marché'!$F:$I,4,0)</f>
        <v>1.3273403888888888</v>
      </c>
    </row>
    <row r="434" spans="1:12" x14ac:dyDescent="0.3">
      <c r="A434" s="8" t="s">
        <v>23</v>
      </c>
      <c r="B434" s="11">
        <v>50</v>
      </c>
      <c r="C434" s="11" t="s">
        <v>11</v>
      </c>
      <c r="D434" s="11">
        <v>25</v>
      </c>
      <c r="E434" s="20">
        <v>2.0699999999999998</v>
      </c>
      <c r="F434" s="11" t="s">
        <v>13</v>
      </c>
      <c r="G434" s="11" t="s">
        <v>16</v>
      </c>
      <c r="H434" s="12">
        <v>46630</v>
      </c>
      <c r="I434" s="12"/>
      <c r="J434" s="13"/>
      <c r="K434" t="str">
        <f t="shared" si="6"/>
        <v>DE50-SDR7,4</v>
      </c>
      <c r="L434" s="1">
        <f>VLOOKUP(K434,'[1]Tarif - Evolution Marché'!$F:$I,4,0)</f>
        <v>2.0664524999999996</v>
      </c>
    </row>
    <row r="435" spans="1:12" x14ac:dyDescent="0.3">
      <c r="A435" s="14" t="s">
        <v>23</v>
      </c>
      <c r="B435" s="15">
        <v>63</v>
      </c>
      <c r="C435" s="15" t="s">
        <v>11</v>
      </c>
      <c r="D435" s="15">
        <v>25</v>
      </c>
      <c r="E435" s="20">
        <v>3.26</v>
      </c>
      <c r="F435" s="15" t="s">
        <v>13</v>
      </c>
      <c r="G435" s="15" t="s">
        <v>16</v>
      </c>
      <c r="H435" s="17">
        <v>46630</v>
      </c>
      <c r="I435" s="17"/>
      <c r="J435" s="18"/>
      <c r="K435" t="str">
        <f t="shared" si="6"/>
        <v>DE63-SDR7,4</v>
      </c>
      <c r="L435" s="1">
        <f>VLOOKUP(K435,'[1]Tarif - Evolution Marché'!$F:$I,4,0)</f>
        <v>3.258216111111111</v>
      </c>
    </row>
    <row r="436" spans="1:12" x14ac:dyDescent="0.3">
      <c r="A436" s="8" t="s">
        <v>23</v>
      </c>
      <c r="B436" s="11">
        <v>75</v>
      </c>
      <c r="C436" s="11" t="s">
        <v>11</v>
      </c>
      <c r="D436" s="11">
        <v>25</v>
      </c>
      <c r="E436" s="20">
        <v>4.6399999999999997</v>
      </c>
      <c r="F436" s="11" t="s">
        <v>13</v>
      </c>
      <c r="G436" s="11" t="s">
        <v>16</v>
      </c>
      <c r="H436" s="12">
        <v>46630</v>
      </c>
      <c r="I436" s="12"/>
      <c r="J436" s="13"/>
      <c r="K436" t="str">
        <f t="shared" si="6"/>
        <v>DE75-SDR7,4</v>
      </c>
      <c r="L436" s="1">
        <f>VLOOKUP(K436,'[1]Tarif - Evolution Marché'!$F:$I,4,0)</f>
        <v>4.6358511111111111</v>
      </c>
    </row>
    <row r="437" spans="1:12" x14ac:dyDescent="0.3">
      <c r="A437" s="14" t="s">
        <v>23</v>
      </c>
      <c r="B437" s="15">
        <v>90</v>
      </c>
      <c r="C437" s="15" t="s">
        <v>11</v>
      </c>
      <c r="D437" s="15">
        <v>25</v>
      </c>
      <c r="E437" s="20">
        <v>6.63</v>
      </c>
      <c r="F437" s="15" t="s">
        <v>13</v>
      </c>
      <c r="G437" s="15" t="s">
        <v>16</v>
      </c>
      <c r="H437" s="17">
        <v>46630</v>
      </c>
      <c r="I437" s="17"/>
      <c r="J437" s="18"/>
      <c r="K437" t="str">
        <f t="shared" si="6"/>
        <v>DE90-SDR7,4</v>
      </c>
      <c r="L437" s="1">
        <f>VLOOKUP(K437,'[1]Tarif - Evolution Marché'!$F:$I,4,0)</f>
        <v>6.6257683333333324</v>
      </c>
    </row>
    <row r="438" spans="1:12" x14ac:dyDescent="0.3">
      <c r="A438" s="8" t="s">
        <v>23</v>
      </c>
      <c r="B438" s="11">
        <v>110</v>
      </c>
      <c r="C438" s="11" t="s">
        <v>11</v>
      </c>
      <c r="D438" s="11">
        <v>25</v>
      </c>
      <c r="E438" s="20">
        <v>9.93</v>
      </c>
      <c r="F438" s="11" t="s">
        <v>13</v>
      </c>
      <c r="G438" s="11" t="s">
        <v>16</v>
      </c>
      <c r="H438" s="12">
        <v>46630</v>
      </c>
      <c r="I438" s="12"/>
      <c r="J438" s="13"/>
      <c r="K438" t="str">
        <f t="shared" si="6"/>
        <v>DE110-SDR7,4</v>
      </c>
      <c r="L438" s="1">
        <f>VLOOKUP(K438,'[1]Tarif - Evolution Marché'!$F:$I,4,0)</f>
        <v>9.9277188888888883</v>
      </c>
    </row>
    <row r="439" spans="1:12" x14ac:dyDescent="0.3">
      <c r="A439" s="14" t="s">
        <v>23</v>
      </c>
      <c r="B439" s="15">
        <v>125</v>
      </c>
      <c r="C439" s="15" t="s">
        <v>11</v>
      </c>
      <c r="D439" s="15">
        <v>25</v>
      </c>
      <c r="E439" s="20">
        <v>12.77</v>
      </c>
      <c r="F439" s="15" t="s">
        <v>13</v>
      </c>
      <c r="G439" s="15" t="s">
        <v>16</v>
      </c>
      <c r="H439" s="17">
        <v>46630</v>
      </c>
      <c r="I439" s="15">
        <v>2400</v>
      </c>
      <c r="J439" s="18">
        <v>2800</v>
      </c>
      <c r="K439" t="str">
        <f t="shared" si="6"/>
        <v>DE125-SDR7,4</v>
      </c>
      <c r="L439" s="1">
        <f>VLOOKUP(K439,'[1]Tarif - Evolution Marché'!$F:$I,4,0)</f>
        <v>12.770457777777777</v>
      </c>
    </row>
    <row r="440" spans="1:12" x14ac:dyDescent="0.3">
      <c r="A440" s="8" t="s">
        <v>23</v>
      </c>
      <c r="B440" s="11">
        <v>140</v>
      </c>
      <c r="C440" s="11" t="s">
        <v>11</v>
      </c>
      <c r="D440" s="11">
        <v>25</v>
      </c>
      <c r="E440" s="20">
        <v>16.03</v>
      </c>
      <c r="F440" s="11" t="s">
        <v>13</v>
      </c>
      <c r="G440" s="11" t="s">
        <v>16</v>
      </c>
      <c r="H440" s="12">
        <v>46630</v>
      </c>
      <c r="I440" s="11">
        <v>1920</v>
      </c>
      <c r="J440" s="13">
        <v>2240</v>
      </c>
      <c r="K440" t="str">
        <f t="shared" si="6"/>
        <v>DE140-SDR7,4</v>
      </c>
      <c r="L440" s="1">
        <f>VLOOKUP(K440,'[1]Tarif - Evolution Marché'!$F:$I,4,0)</f>
        <v>16.028673888888889</v>
      </c>
    </row>
    <row r="441" spans="1:12" x14ac:dyDescent="0.3">
      <c r="A441" s="14" t="s">
        <v>23</v>
      </c>
      <c r="B441" s="15">
        <v>160</v>
      </c>
      <c r="C441" s="15" t="s">
        <v>11</v>
      </c>
      <c r="D441" s="15">
        <v>25</v>
      </c>
      <c r="E441" s="20">
        <v>20.86</v>
      </c>
      <c r="F441" s="15" t="s">
        <v>13</v>
      </c>
      <c r="G441" s="15" t="s">
        <v>16</v>
      </c>
      <c r="H441" s="17">
        <v>46630</v>
      </c>
      <c r="I441" s="15">
        <v>1920</v>
      </c>
      <c r="J441" s="18">
        <v>2240</v>
      </c>
      <c r="K441" t="str">
        <f t="shared" si="6"/>
        <v>DE160-SDR7,4</v>
      </c>
      <c r="L441" s="1">
        <f>VLOOKUP(K441,'[1]Tarif - Evolution Marché'!$F:$I,4,0)</f>
        <v>20.861329999999995</v>
      </c>
    </row>
    <row r="442" spans="1:12" x14ac:dyDescent="0.3">
      <c r="A442" s="8" t="s">
        <v>23</v>
      </c>
      <c r="B442" s="11">
        <v>180</v>
      </c>
      <c r="C442" s="11" t="s">
        <v>11</v>
      </c>
      <c r="D442" s="11">
        <v>25</v>
      </c>
      <c r="E442" s="20">
        <v>26.46</v>
      </c>
      <c r="F442" s="11" t="s">
        <v>13</v>
      </c>
      <c r="G442" s="11" t="s">
        <v>16</v>
      </c>
      <c r="H442" s="12">
        <v>46630</v>
      </c>
      <c r="I442" s="11">
        <v>1200</v>
      </c>
      <c r="J442" s="13">
        <v>1400</v>
      </c>
      <c r="K442" t="str">
        <f t="shared" si="6"/>
        <v>DE180-SDR7,4</v>
      </c>
      <c r="L442" s="1">
        <f>VLOOKUP(K442,'[1]Tarif - Evolution Marché'!$F:$I,4,0)</f>
        <v>26.459338888888887</v>
      </c>
    </row>
    <row r="443" spans="1:12" x14ac:dyDescent="0.3">
      <c r="A443" s="14" t="s">
        <v>23</v>
      </c>
      <c r="B443" s="15">
        <v>200</v>
      </c>
      <c r="C443" s="15" t="s">
        <v>11</v>
      </c>
      <c r="D443" s="15">
        <v>25</v>
      </c>
      <c r="E443" s="20">
        <v>32.58</v>
      </c>
      <c r="F443" s="15" t="s">
        <v>13</v>
      </c>
      <c r="G443" s="15" t="s">
        <v>16</v>
      </c>
      <c r="H443" s="17">
        <v>46630</v>
      </c>
      <c r="I443" s="15">
        <v>960</v>
      </c>
      <c r="J443" s="18">
        <v>1120</v>
      </c>
      <c r="K443" t="str">
        <f t="shared" si="6"/>
        <v>DE200-SDR7,4</v>
      </c>
      <c r="L443" s="1">
        <f>VLOOKUP(K443,'[1]Tarif - Evolution Marché'!$F:$I,4,0)</f>
        <v>32.582161111111105</v>
      </c>
    </row>
    <row r="444" spans="1:12" x14ac:dyDescent="0.3">
      <c r="A444" s="8" t="s">
        <v>23</v>
      </c>
      <c r="B444" s="11">
        <v>225</v>
      </c>
      <c r="C444" s="11" t="s">
        <v>11</v>
      </c>
      <c r="D444" s="11">
        <v>25</v>
      </c>
      <c r="E444" s="20">
        <v>41.11</v>
      </c>
      <c r="F444" s="11" t="s">
        <v>13</v>
      </c>
      <c r="G444" s="11" t="s">
        <v>16</v>
      </c>
      <c r="H444" s="12">
        <v>46630</v>
      </c>
      <c r="I444" s="11">
        <v>960</v>
      </c>
      <c r="J444" s="13">
        <v>1120</v>
      </c>
      <c r="K444" t="str">
        <f t="shared" si="6"/>
        <v>DE225-SDR7,4</v>
      </c>
      <c r="L444" s="1">
        <f>VLOOKUP(K444,'[1]Tarif - Evolution Marché'!$F:$I,4,0)</f>
        <v>41.110377777777778</v>
      </c>
    </row>
    <row r="445" spans="1:12" x14ac:dyDescent="0.3">
      <c r="A445" s="14" t="s">
        <v>23</v>
      </c>
      <c r="B445" s="15">
        <v>250</v>
      </c>
      <c r="C445" s="15" t="s">
        <v>11</v>
      </c>
      <c r="D445" s="15">
        <v>25</v>
      </c>
      <c r="E445" s="20">
        <v>50.95</v>
      </c>
      <c r="F445" s="15" t="s">
        <v>13</v>
      </c>
      <c r="G445" s="15" t="s">
        <v>16</v>
      </c>
      <c r="H445" s="17">
        <v>46630</v>
      </c>
      <c r="I445" s="15">
        <v>672</v>
      </c>
      <c r="J445" s="18">
        <v>784</v>
      </c>
      <c r="K445" t="str">
        <f t="shared" si="6"/>
        <v>DE250-SDR7,4</v>
      </c>
      <c r="L445" s="1">
        <f>VLOOKUP(K445,'[1]Tarif - Evolution Marché'!$F:$I,4,0)</f>
        <v>50.950627777777775</v>
      </c>
    </row>
    <row r="446" spans="1:12" x14ac:dyDescent="0.3">
      <c r="A446" s="8" t="s">
        <v>23</v>
      </c>
      <c r="B446" s="11">
        <v>280</v>
      </c>
      <c r="C446" s="11" t="s">
        <v>11</v>
      </c>
      <c r="D446" s="11">
        <v>25</v>
      </c>
      <c r="E446" s="20">
        <v>63.85</v>
      </c>
      <c r="F446" s="11" t="s">
        <v>13</v>
      </c>
      <c r="G446" s="11" t="s">
        <v>16</v>
      </c>
      <c r="H446" s="12">
        <v>46630</v>
      </c>
      <c r="I446" s="11">
        <v>672</v>
      </c>
      <c r="J446" s="13">
        <v>784</v>
      </c>
      <c r="K446" t="str">
        <f t="shared" si="6"/>
        <v>DE280-SDR7,4</v>
      </c>
      <c r="L446" s="1">
        <f>VLOOKUP(K446,'[1]Tarif - Evolution Marché'!$F:$I,4,0)</f>
        <v>63.852288888888879</v>
      </c>
    </row>
    <row r="447" spans="1:12" x14ac:dyDescent="0.3">
      <c r="A447" s="14" t="s">
        <v>23</v>
      </c>
      <c r="B447" s="15">
        <v>315</v>
      </c>
      <c r="C447" s="15" t="s">
        <v>11</v>
      </c>
      <c r="D447" s="15">
        <v>25</v>
      </c>
      <c r="E447" s="20">
        <v>80.69</v>
      </c>
      <c r="F447" s="15" t="s">
        <v>13</v>
      </c>
      <c r="G447" s="15" t="s">
        <v>16</v>
      </c>
      <c r="H447" s="17">
        <v>46630</v>
      </c>
      <c r="I447" s="15">
        <v>432</v>
      </c>
      <c r="J447" s="18">
        <v>504</v>
      </c>
      <c r="K447" t="str">
        <f t="shared" si="6"/>
        <v>DE315-SDR7,4</v>
      </c>
      <c r="L447" s="1">
        <f>VLOOKUP(K447,'[1]Tarif - Evolution Marché'!$F:$I,4,0)</f>
        <v>80.690049999999985</v>
      </c>
    </row>
    <row r="448" spans="1:12" x14ac:dyDescent="0.3">
      <c r="A448" s="8" t="s">
        <v>23</v>
      </c>
      <c r="B448" s="11">
        <v>355</v>
      </c>
      <c r="C448" s="11" t="s">
        <v>11</v>
      </c>
      <c r="D448" s="11">
        <v>25</v>
      </c>
      <c r="E448" s="20">
        <v>102.34</v>
      </c>
      <c r="F448" s="11" t="s">
        <v>13</v>
      </c>
      <c r="G448" s="11" t="s">
        <v>16</v>
      </c>
      <c r="H448" s="12">
        <v>46630</v>
      </c>
      <c r="I448" s="11">
        <v>360</v>
      </c>
      <c r="J448" s="13">
        <v>420</v>
      </c>
      <c r="K448" t="str">
        <f t="shared" si="6"/>
        <v>DE355-SDR7,4</v>
      </c>
      <c r="L448" s="1">
        <f>VLOOKUP(K448,'[1]Tarif - Evolution Marché'!$F:$I,4,0)</f>
        <v>102.33859999999999</v>
      </c>
    </row>
    <row r="449" spans="1:12" x14ac:dyDescent="0.3">
      <c r="A449" s="14" t="s">
        <v>23</v>
      </c>
      <c r="B449" s="15">
        <v>400</v>
      </c>
      <c r="C449" s="15" t="s">
        <v>11</v>
      </c>
      <c r="D449" s="15">
        <v>25</v>
      </c>
      <c r="E449" s="20">
        <v>129.88999999999999</v>
      </c>
      <c r="F449" s="15" t="s">
        <v>13</v>
      </c>
      <c r="G449" s="15" t="s">
        <v>16</v>
      </c>
      <c r="H449" s="17">
        <v>46630</v>
      </c>
      <c r="I449" s="15">
        <v>360</v>
      </c>
      <c r="J449" s="18">
        <v>420</v>
      </c>
      <c r="K449" t="str">
        <f t="shared" si="6"/>
        <v>DE400-SDR7,4</v>
      </c>
      <c r="L449" s="1">
        <f>VLOOKUP(K449,'[1]Tarif - Evolution Marché'!$F:$I,4,0)</f>
        <v>129.89129999999997</v>
      </c>
    </row>
    <row r="450" spans="1:12" x14ac:dyDescent="0.3">
      <c r="A450" s="8" t="s">
        <v>23</v>
      </c>
      <c r="B450" s="11">
        <v>450</v>
      </c>
      <c r="C450" s="11" t="s">
        <v>11</v>
      </c>
      <c r="D450" s="11">
        <v>25</v>
      </c>
      <c r="E450" s="20">
        <v>164.44</v>
      </c>
      <c r="F450" s="11" t="s">
        <v>13</v>
      </c>
      <c r="G450" s="11" t="s">
        <v>16</v>
      </c>
      <c r="H450" s="12">
        <v>46630</v>
      </c>
      <c r="I450" s="11">
        <v>192</v>
      </c>
      <c r="J450" s="13">
        <v>224</v>
      </c>
      <c r="K450" t="str">
        <f t="shared" si="6"/>
        <v>DE450-SDR7,4</v>
      </c>
      <c r="L450" s="1">
        <f>VLOOKUP(K450,'[1]Tarif - Evolution Marché'!$F:$I,4,0)</f>
        <v>164.44151111111111</v>
      </c>
    </row>
    <row r="451" spans="1:12" x14ac:dyDescent="0.3">
      <c r="A451" s="14" t="s">
        <v>23</v>
      </c>
      <c r="B451" s="15">
        <v>500</v>
      </c>
      <c r="C451" s="15" t="s">
        <v>11</v>
      </c>
      <c r="D451" s="15">
        <v>25</v>
      </c>
      <c r="E451" s="20">
        <v>202.93</v>
      </c>
      <c r="F451" s="15" t="s">
        <v>13</v>
      </c>
      <c r="G451" s="15" t="s">
        <v>16</v>
      </c>
      <c r="H451" s="17">
        <v>46630</v>
      </c>
      <c r="I451" s="15">
        <v>192</v>
      </c>
      <c r="J451" s="18">
        <v>224</v>
      </c>
      <c r="K451" t="str">
        <f t="shared" ref="K451:K514" si="7">CONCATENATE("DE",B451,"-",C451)</f>
        <v>DE500-SDR7,4</v>
      </c>
      <c r="L451" s="1">
        <f>VLOOKUP(K451,'[1]Tarif - Evolution Marché'!$F:$I,4,0)</f>
        <v>202.9278222222222</v>
      </c>
    </row>
    <row r="452" spans="1:12" x14ac:dyDescent="0.3">
      <c r="A452" s="8" t="s">
        <v>23</v>
      </c>
      <c r="B452" s="11">
        <v>63</v>
      </c>
      <c r="C452" s="11" t="s">
        <v>3</v>
      </c>
      <c r="D452" s="11">
        <v>4</v>
      </c>
      <c r="E452" s="21">
        <v>0.84</v>
      </c>
      <c r="F452" s="11" t="s">
        <v>13</v>
      </c>
      <c r="G452" s="11" t="s">
        <v>17</v>
      </c>
      <c r="H452" s="12">
        <v>46630</v>
      </c>
      <c r="I452" s="12"/>
      <c r="J452" s="13"/>
      <c r="K452" t="str">
        <f t="shared" si="7"/>
        <v>DE63-SDR41</v>
      </c>
      <c r="L452" s="1">
        <f>VLOOKUP(K452,'[1]Tarif - Evolution Marché'!$F:$J,5,0)</f>
        <v>0.83877573662551441</v>
      </c>
    </row>
    <row r="453" spans="1:12" x14ac:dyDescent="0.3">
      <c r="A453" s="14" t="s">
        <v>23</v>
      </c>
      <c r="B453" s="15">
        <v>75</v>
      </c>
      <c r="C453" s="15" t="s">
        <v>3</v>
      </c>
      <c r="D453" s="15">
        <v>4</v>
      </c>
      <c r="E453" s="21">
        <v>1.05</v>
      </c>
      <c r="F453" s="15" t="s">
        <v>13</v>
      </c>
      <c r="G453" s="15" t="s">
        <v>17</v>
      </c>
      <c r="H453" s="17">
        <v>46630</v>
      </c>
      <c r="I453" s="17"/>
      <c r="J453" s="18"/>
      <c r="K453" t="str">
        <f t="shared" si="7"/>
        <v>DE75-SDR41</v>
      </c>
      <c r="L453" s="1">
        <f>VLOOKUP(K453,'[1]Tarif - Evolution Marché'!$F:$J,5,0)</f>
        <v>1.0530282345679012</v>
      </c>
    </row>
    <row r="454" spans="1:12" x14ac:dyDescent="0.3">
      <c r="A454" s="8" t="s">
        <v>23</v>
      </c>
      <c r="B454" s="11">
        <v>90</v>
      </c>
      <c r="C454" s="11" t="s">
        <v>3</v>
      </c>
      <c r="D454" s="11">
        <v>4</v>
      </c>
      <c r="E454" s="21">
        <v>1.47</v>
      </c>
      <c r="F454" s="11" t="s">
        <v>13</v>
      </c>
      <c r="G454" s="11" t="s">
        <v>17</v>
      </c>
      <c r="H454" s="12">
        <v>46630</v>
      </c>
      <c r="I454" s="12"/>
      <c r="J454" s="13"/>
      <c r="K454" t="str">
        <f t="shared" si="7"/>
        <v>DE90-SDR41</v>
      </c>
      <c r="L454" s="1">
        <f>VLOOKUP(K454,'[1]Tarif - Evolution Marché'!$F:$J,5,0)</f>
        <v>1.4746953847736626</v>
      </c>
    </row>
    <row r="455" spans="1:12" x14ac:dyDescent="0.3">
      <c r="A455" s="14" t="s">
        <v>23</v>
      </c>
      <c r="B455" s="15">
        <v>110</v>
      </c>
      <c r="C455" s="15" t="s">
        <v>3</v>
      </c>
      <c r="D455" s="15">
        <v>4</v>
      </c>
      <c r="E455" s="21">
        <v>2.17</v>
      </c>
      <c r="F455" s="15" t="s">
        <v>13</v>
      </c>
      <c r="G455" s="15" t="s">
        <v>17</v>
      </c>
      <c r="H455" s="17">
        <v>46630</v>
      </c>
      <c r="I455" s="17"/>
      <c r="J455" s="18"/>
      <c r="K455" t="str">
        <f t="shared" si="7"/>
        <v>DE110-SDR41</v>
      </c>
      <c r="L455" s="1">
        <f>VLOOKUP(K455,'[1]Tarif - Evolution Marché'!$F:$J,5,0)</f>
        <v>2.1698763621399175</v>
      </c>
    </row>
    <row r="456" spans="1:12" x14ac:dyDescent="0.3">
      <c r="A456" s="8" t="s">
        <v>23</v>
      </c>
      <c r="B456" s="11">
        <v>125</v>
      </c>
      <c r="C456" s="11" t="s">
        <v>3</v>
      </c>
      <c r="D456" s="11">
        <v>4</v>
      </c>
      <c r="E456" s="21">
        <v>2.85</v>
      </c>
      <c r="F456" s="11" t="s">
        <v>13</v>
      </c>
      <c r="G456" s="11" t="s">
        <v>17</v>
      </c>
      <c r="H456" s="12">
        <v>46630</v>
      </c>
      <c r="I456" s="11">
        <v>2400</v>
      </c>
      <c r="J456" s="13">
        <v>2800</v>
      </c>
      <c r="K456" t="str">
        <f t="shared" si="7"/>
        <v>DE125-SDR41</v>
      </c>
      <c r="L456" s="1">
        <f>VLOOKUP(K456,'[1]Tarif - Evolution Marché'!$F:$J,5,0)</f>
        <v>2.8491023662551438</v>
      </c>
    </row>
    <row r="457" spans="1:12" x14ac:dyDescent="0.3">
      <c r="A457" s="14" t="s">
        <v>23</v>
      </c>
      <c r="B457" s="15">
        <v>140</v>
      </c>
      <c r="C457" s="15" t="s">
        <v>3</v>
      </c>
      <c r="D457" s="15">
        <v>4</v>
      </c>
      <c r="E457" s="21">
        <v>3.56</v>
      </c>
      <c r="F457" s="15" t="s">
        <v>13</v>
      </c>
      <c r="G457" s="15" t="s">
        <v>17</v>
      </c>
      <c r="H457" s="17">
        <v>46630</v>
      </c>
      <c r="I457" s="15">
        <v>1920</v>
      </c>
      <c r="J457" s="18">
        <v>2240</v>
      </c>
      <c r="K457" t="str">
        <f t="shared" si="7"/>
        <v>DE140-SDR41</v>
      </c>
      <c r="L457" s="1">
        <f>VLOOKUP(K457,'[1]Tarif - Evolution Marché'!$F:$J,5,0)</f>
        <v>3.5556797530864199</v>
      </c>
    </row>
    <row r="458" spans="1:12" x14ac:dyDescent="0.3">
      <c r="A458" s="8" t="s">
        <v>23</v>
      </c>
      <c r="B458" s="11">
        <v>160</v>
      </c>
      <c r="C458" s="11" t="s">
        <v>3</v>
      </c>
      <c r="D458" s="11">
        <v>4</v>
      </c>
      <c r="E458" s="21">
        <v>4.5999999999999996</v>
      </c>
      <c r="F458" s="11" t="s">
        <v>13</v>
      </c>
      <c r="G458" s="11" t="s">
        <v>17</v>
      </c>
      <c r="H458" s="12">
        <v>46630</v>
      </c>
      <c r="I458" s="11">
        <v>1920</v>
      </c>
      <c r="J458" s="13">
        <v>2240</v>
      </c>
      <c r="K458" t="str">
        <f t="shared" si="7"/>
        <v>DE160-SDR41</v>
      </c>
      <c r="L458" s="1">
        <f>VLOOKUP(K458,'[1]Tarif - Evolution Marché'!$F:$J,5,0)</f>
        <v>4.6041494238683125</v>
      </c>
    </row>
    <row r="459" spans="1:12" x14ac:dyDescent="0.3">
      <c r="A459" s="14" t="s">
        <v>23</v>
      </c>
      <c r="B459" s="15">
        <v>180</v>
      </c>
      <c r="C459" s="15" t="s">
        <v>3</v>
      </c>
      <c r="D459" s="15">
        <v>4</v>
      </c>
      <c r="E459" s="21">
        <v>5.72</v>
      </c>
      <c r="F459" s="15" t="s">
        <v>13</v>
      </c>
      <c r="G459" s="15" t="s">
        <v>17</v>
      </c>
      <c r="H459" s="17">
        <v>46630</v>
      </c>
      <c r="I459" s="15">
        <v>1200</v>
      </c>
      <c r="J459" s="18">
        <v>1400</v>
      </c>
      <c r="K459" t="str">
        <f t="shared" si="7"/>
        <v>DE180-SDR41</v>
      </c>
      <c r="L459" s="1">
        <f>VLOOKUP(K459,'[1]Tarif - Evolution Marché'!$F:$J,5,0)</f>
        <v>5.7209975514403286</v>
      </c>
    </row>
    <row r="460" spans="1:12" x14ac:dyDescent="0.3">
      <c r="A460" s="8" t="s">
        <v>23</v>
      </c>
      <c r="B460" s="11">
        <v>200</v>
      </c>
      <c r="C460" s="11" t="s">
        <v>3</v>
      </c>
      <c r="D460" s="11">
        <v>4</v>
      </c>
      <c r="E460" s="21">
        <v>7.02</v>
      </c>
      <c r="F460" s="11" t="s">
        <v>13</v>
      </c>
      <c r="G460" s="11" t="s">
        <v>17</v>
      </c>
      <c r="H460" s="12">
        <v>46630</v>
      </c>
      <c r="I460" s="11">
        <v>960</v>
      </c>
      <c r="J460" s="13">
        <v>1120</v>
      </c>
      <c r="K460" t="str">
        <f t="shared" si="7"/>
        <v>DE200-SDR41</v>
      </c>
      <c r="L460" s="1">
        <f>VLOOKUP(K460,'[1]Tarif - Evolution Marché'!$F:$J,5,0)</f>
        <v>7.0201882304526748</v>
      </c>
    </row>
    <row r="461" spans="1:12" x14ac:dyDescent="0.3">
      <c r="A461" s="14" t="s">
        <v>23</v>
      </c>
      <c r="B461" s="15">
        <v>225</v>
      </c>
      <c r="C461" s="15" t="s">
        <v>3</v>
      </c>
      <c r="D461" s="15">
        <v>4</v>
      </c>
      <c r="E461" s="21">
        <v>8.89</v>
      </c>
      <c r="F461" s="15" t="s">
        <v>13</v>
      </c>
      <c r="G461" s="15" t="s">
        <v>17</v>
      </c>
      <c r="H461" s="17">
        <v>46630</v>
      </c>
      <c r="I461" s="15">
        <v>960</v>
      </c>
      <c r="J461" s="18">
        <v>1120</v>
      </c>
      <c r="K461" t="str">
        <f t="shared" si="7"/>
        <v>DE225-SDR41</v>
      </c>
      <c r="L461" s="1">
        <f>VLOOKUP(K461,'[1]Tarif - Evolution Marché'!$F:$J,5,0)</f>
        <v>8.8891993827160487</v>
      </c>
    </row>
    <row r="462" spans="1:12" x14ac:dyDescent="0.3">
      <c r="A462" s="8" t="s">
        <v>23</v>
      </c>
      <c r="B462" s="11">
        <v>250</v>
      </c>
      <c r="C462" s="11" t="s">
        <v>3</v>
      </c>
      <c r="D462" s="11">
        <v>4</v>
      </c>
      <c r="E462" s="21">
        <v>11.12</v>
      </c>
      <c r="F462" s="11" t="s">
        <v>13</v>
      </c>
      <c r="G462" s="11" t="s">
        <v>17</v>
      </c>
      <c r="H462" s="12">
        <v>46630</v>
      </c>
      <c r="I462" s="11">
        <v>672</v>
      </c>
      <c r="J462" s="13">
        <v>784</v>
      </c>
      <c r="K462" t="str">
        <f t="shared" si="7"/>
        <v>DE250-SDR41</v>
      </c>
      <c r="L462" s="1">
        <f>VLOOKUP(K462,'[1]Tarif - Evolution Marché'!$F:$J,5,0)</f>
        <v>11.122895637860083</v>
      </c>
    </row>
    <row r="463" spans="1:12" x14ac:dyDescent="0.3">
      <c r="A463" s="14" t="s">
        <v>23</v>
      </c>
      <c r="B463" s="15">
        <v>280</v>
      </c>
      <c r="C463" s="15" t="s">
        <v>3</v>
      </c>
      <c r="D463" s="15">
        <v>4</v>
      </c>
      <c r="E463" s="21">
        <v>13.77</v>
      </c>
      <c r="F463" s="15" t="s">
        <v>13</v>
      </c>
      <c r="G463" s="15" t="s">
        <v>17</v>
      </c>
      <c r="H463" s="17">
        <v>46630</v>
      </c>
      <c r="I463" s="15">
        <v>672</v>
      </c>
      <c r="J463" s="18">
        <v>784</v>
      </c>
      <c r="K463" t="str">
        <f t="shared" si="7"/>
        <v>DE280-SDR41</v>
      </c>
      <c r="L463" s="1">
        <f>VLOOKUP(K463,'[1]Tarif - Evolution Marché'!$F:$J,5,0)</f>
        <v>13.766862633744855</v>
      </c>
    </row>
    <row r="464" spans="1:12" x14ac:dyDescent="0.3">
      <c r="A464" s="8" t="s">
        <v>23</v>
      </c>
      <c r="B464" s="11">
        <v>315</v>
      </c>
      <c r="C464" s="11" t="s">
        <v>3</v>
      </c>
      <c r="D464" s="11">
        <v>4</v>
      </c>
      <c r="E464" s="21">
        <v>17.3</v>
      </c>
      <c r="F464" s="11" t="s">
        <v>13</v>
      </c>
      <c r="G464" s="11" t="s">
        <v>17</v>
      </c>
      <c r="H464" s="12">
        <v>46630</v>
      </c>
      <c r="I464" s="11">
        <v>432</v>
      </c>
      <c r="J464" s="13">
        <v>504</v>
      </c>
      <c r="K464" t="str">
        <f t="shared" si="7"/>
        <v>DE315-SDR41</v>
      </c>
      <c r="L464" s="1">
        <f>VLOOKUP(K464,'[1]Tarif - Evolution Marché'!$F:$J,5,0)</f>
        <v>17.299749567901234</v>
      </c>
    </row>
    <row r="465" spans="1:12" x14ac:dyDescent="0.3">
      <c r="A465" s="14" t="s">
        <v>23</v>
      </c>
      <c r="B465" s="15">
        <v>355</v>
      </c>
      <c r="C465" s="15" t="s">
        <v>3</v>
      </c>
      <c r="D465" s="15">
        <v>4</v>
      </c>
      <c r="E465" s="21">
        <v>22</v>
      </c>
      <c r="F465" s="15" t="s">
        <v>13</v>
      </c>
      <c r="G465" s="15" t="s">
        <v>17</v>
      </c>
      <c r="H465" s="17">
        <v>46630</v>
      </c>
      <c r="I465" s="15">
        <v>360</v>
      </c>
      <c r="J465" s="18">
        <v>420</v>
      </c>
      <c r="K465" t="str">
        <f t="shared" si="7"/>
        <v>DE355-SDR41</v>
      </c>
      <c r="L465" s="1">
        <f>VLOOKUP(K465,'[1]Tarif - Evolution Marché'!$F:$J,5,0)</f>
        <v>21.995070267489712</v>
      </c>
    </row>
    <row r="466" spans="1:12" x14ac:dyDescent="0.3">
      <c r="A466" s="8" t="s">
        <v>23</v>
      </c>
      <c r="B466" s="11">
        <v>400</v>
      </c>
      <c r="C466" s="11" t="s">
        <v>3</v>
      </c>
      <c r="D466" s="11">
        <v>4</v>
      </c>
      <c r="E466" s="21">
        <v>27.81</v>
      </c>
      <c r="F466" s="11" t="s">
        <v>13</v>
      </c>
      <c r="G466" s="11" t="s">
        <v>17</v>
      </c>
      <c r="H466" s="12">
        <v>46630</v>
      </c>
      <c r="I466" s="11">
        <v>360</v>
      </c>
      <c r="J466" s="13">
        <v>420</v>
      </c>
      <c r="K466" t="str">
        <f t="shared" si="7"/>
        <v>DE400-SDR41</v>
      </c>
      <c r="L466" s="1">
        <f>VLOOKUP(K466,'[1]Tarif - Evolution Marché'!$F:$J,5,0)</f>
        <v>27.807239094650203</v>
      </c>
    </row>
    <row r="467" spans="1:12" x14ac:dyDescent="0.3">
      <c r="A467" s="14" t="s">
        <v>23</v>
      </c>
      <c r="B467" s="15">
        <v>450</v>
      </c>
      <c r="C467" s="15" t="s">
        <v>3</v>
      </c>
      <c r="D467" s="15">
        <v>4</v>
      </c>
      <c r="E467" s="21">
        <v>35.1</v>
      </c>
      <c r="F467" s="15" t="s">
        <v>13</v>
      </c>
      <c r="G467" s="15" t="s">
        <v>17</v>
      </c>
      <c r="H467" s="17">
        <v>46630</v>
      </c>
      <c r="I467" s="15">
        <v>192</v>
      </c>
      <c r="J467" s="18">
        <v>224</v>
      </c>
      <c r="K467" t="str">
        <f t="shared" si="7"/>
        <v>DE450-SDR41</v>
      </c>
      <c r="L467" s="1">
        <f>VLOOKUP(K467,'[1]Tarif - Evolution Marché'!$F:$J,5,0)</f>
        <v>35.100941152263374</v>
      </c>
    </row>
    <row r="468" spans="1:12" x14ac:dyDescent="0.3">
      <c r="A468" s="8" t="s">
        <v>23</v>
      </c>
      <c r="B468" s="11">
        <v>500</v>
      </c>
      <c r="C468" s="11" t="s">
        <v>3</v>
      </c>
      <c r="D468" s="11">
        <v>4</v>
      </c>
      <c r="E468" s="21">
        <v>43.76</v>
      </c>
      <c r="F468" s="11" t="s">
        <v>13</v>
      </c>
      <c r="G468" s="11" t="s">
        <v>17</v>
      </c>
      <c r="H468" s="12">
        <v>46630</v>
      </c>
      <c r="I468" s="11">
        <v>192</v>
      </c>
      <c r="J468" s="13">
        <v>224</v>
      </c>
      <c r="K468" t="str">
        <f t="shared" si="7"/>
        <v>DE500-SDR41</v>
      </c>
      <c r="L468" s="1">
        <f>VLOOKUP(K468,'[1]Tarif - Evolution Marché'!$F:$J,5,0)</f>
        <v>43.762212345679011</v>
      </c>
    </row>
    <row r="469" spans="1:12" x14ac:dyDescent="0.3">
      <c r="A469" s="14" t="s">
        <v>23</v>
      </c>
      <c r="B469" s="15">
        <v>560</v>
      </c>
      <c r="C469" s="15" t="s">
        <v>3</v>
      </c>
      <c r="D469" s="15">
        <v>4</v>
      </c>
      <c r="E469" s="21">
        <v>54.47</v>
      </c>
      <c r="F469" s="15" t="s">
        <v>13</v>
      </c>
      <c r="G469" s="15" t="s">
        <v>17</v>
      </c>
      <c r="H469" s="17">
        <v>46630</v>
      </c>
      <c r="I469" s="15">
        <v>192</v>
      </c>
      <c r="J469" s="18">
        <v>224</v>
      </c>
      <c r="K469" t="str">
        <f t="shared" si="7"/>
        <v>DE560-SDR41</v>
      </c>
      <c r="L469" s="1">
        <f>VLOOKUP(K469,'[1]Tarif - Evolution Marché'!$F:$J,5,0)</f>
        <v>54.474837242798351</v>
      </c>
    </row>
    <row r="470" spans="1:12" x14ac:dyDescent="0.3">
      <c r="A470" s="8" t="s">
        <v>23</v>
      </c>
      <c r="B470" s="11">
        <v>630</v>
      </c>
      <c r="C470" s="11" t="s">
        <v>3</v>
      </c>
      <c r="D470" s="11">
        <v>4</v>
      </c>
      <c r="E470" s="21">
        <v>68.83</v>
      </c>
      <c r="F470" s="11" t="s">
        <v>13</v>
      </c>
      <c r="G470" s="11" t="s">
        <v>17</v>
      </c>
      <c r="H470" s="12">
        <v>46630</v>
      </c>
      <c r="I470" s="11">
        <v>108</v>
      </c>
      <c r="J470" s="13">
        <v>126</v>
      </c>
      <c r="K470" t="str">
        <f t="shared" si="7"/>
        <v>DE630-SDR41</v>
      </c>
      <c r="L470" s="1">
        <f>VLOOKUP(K470,'[1]Tarif - Evolution Marché'!$F:$J,5,0)</f>
        <v>68.834313168724279</v>
      </c>
    </row>
    <row r="471" spans="1:12" x14ac:dyDescent="0.3">
      <c r="A471" s="14" t="s">
        <v>23</v>
      </c>
      <c r="B471" s="15">
        <v>710</v>
      </c>
      <c r="C471" s="15" t="s">
        <v>3</v>
      </c>
      <c r="D471" s="15">
        <v>4</v>
      </c>
      <c r="E471" s="21">
        <v>87.52</v>
      </c>
      <c r="F471" s="15" t="s">
        <v>13</v>
      </c>
      <c r="G471" s="15" t="s">
        <v>17</v>
      </c>
      <c r="H471" s="17">
        <v>46630</v>
      </c>
      <c r="I471" s="15">
        <v>108</v>
      </c>
      <c r="J471" s="18">
        <v>126</v>
      </c>
      <c r="K471" t="str">
        <f t="shared" si="7"/>
        <v>DE710-SDR41</v>
      </c>
      <c r="L471" s="1">
        <f>VLOOKUP(K471,'[1]Tarif - Evolution Marché'!$F:$J,5,0)</f>
        <v>87.524424691358021</v>
      </c>
    </row>
    <row r="472" spans="1:12" x14ac:dyDescent="0.3">
      <c r="A472" s="8" t="s">
        <v>23</v>
      </c>
      <c r="B472" s="11">
        <v>800</v>
      </c>
      <c r="C472" s="11" t="s">
        <v>3</v>
      </c>
      <c r="D472" s="11">
        <v>4</v>
      </c>
      <c r="E472" s="21">
        <v>111</v>
      </c>
      <c r="F472" s="11" t="s">
        <v>13</v>
      </c>
      <c r="G472" s="11" t="s">
        <v>17</v>
      </c>
      <c r="H472" s="12">
        <v>46630</v>
      </c>
      <c r="I472" s="11">
        <v>108</v>
      </c>
      <c r="J472" s="13">
        <v>126</v>
      </c>
      <c r="K472" t="str">
        <f t="shared" si="7"/>
        <v>DE800-SDR41</v>
      </c>
      <c r="L472" s="1">
        <f>VLOOKUP(K472,'[1]Tarif - Evolution Marché'!$F:$J,5,0)</f>
        <v>111.00102818930041</v>
      </c>
    </row>
    <row r="473" spans="1:12" x14ac:dyDescent="0.3">
      <c r="A473" s="14" t="s">
        <v>23</v>
      </c>
      <c r="B473" s="15">
        <v>900</v>
      </c>
      <c r="C473" s="15" t="s">
        <v>3</v>
      </c>
      <c r="D473" s="15">
        <v>4</v>
      </c>
      <c r="E473" s="21">
        <v>139.72</v>
      </c>
      <c r="F473" s="15" t="s">
        <v>13</v>
      </c>
      <c r="G473" s="15" t="s">
        <v>17</v>
      </c>
      <c r="H473" s="17">
        <v>46630</v>
      </c>
      <c r="I473" s="15">
        <v>72</v>
      </c>
      <c r="J473" s="18">
        <v>84</v>
      </c>
      <c r="K473" t="str">
        <f t="shared" si="7"/>
        <v>DE900-SDR41</v>
      </c>
      <c r="L473" s="1">
        <f>VLOOKUP(K473,'[1]Tarif - Evolution Marché'!$F:$J,5,0)</f>
        <v>139.71998004115227</v>
      </c>
    </row>
    <row r="474" spans="1:12" x14ac:dyDescent="0.3">
      <c r="A474" s="8" t="s">
        <v>23</v>
      </c>
      <c r="B474" s="11">
        <v>1000</v>
      </c>
      <c r="C474" s="11" t="s">
        <v>3</v>
      </c>
      <c r="D474" s="11">
        <v>4</v>
      </c>
      <c r="E474" s="21">
        <v>173</v>
      </c>
      <c r="F474" s="11" t="s">
        <v>13</v>
      </c>
      <c r="G474" s="11" t="s">
        <v>17</v>
      </c>
      <c r="H474" s="12">
        <v>46630</v>
      </c>
      <c r="I474" s="11">
        <v>48</v>
      </c>
      <c r="J474" s="13">
        <v>56</v>
      </c>
      <c r="K474" t="str">
        <f t="shared" si="7"/>
        <v>DE1000-SDR41</v>
      </c>
      <c r="L474" s="1">
        <f>VLOOKUP(K474,'[1]Tarif - Evolution Marché'!$F:$J,5,0)</f>
        <v>172.99749567901236</v>
      </c>
    </row>
    <row r="475" spans="1:12" x14ac:dyDescent="0.3">
      <c r="A475" s="14" t="s">
        <v>23</v>
      </c>
      <c r="B475" s="15">
        <v>1200</v>
      </c>
      <c r="C475" s="15" t="s">
        <v>3</v>
      </c>
      <c r="D475" s="15">
        <v>4</v>
      </c>
      <c r="E475" s="21">
        <v>248.44</v>
      </c>
      <c r="F475" s="15" t="s">
        <v>13</v>
      </c>
      <c r="G475" s="15" t="s">
        <v>17</v>
      </c>
      <c r="H475" s="17">
        <v>46630</v>
      </c>
      <c r="I475" s="15">
        <v>36</v>
      </c>
      <c r="J475" s="18">
        <v>42</v>
      </c>
      <c r="K475" t="str">
        <f t="shared" si="7"/>
        <v>DE1200-SDR41</v>
      </c>
      <c r="L475" s="1">
        <f>VLOOKUP(K475,'[1]Tarif - Evolution Marché'!$F:$J,5,0)</f>
        <v>248.44172633744856</v>
      </c>
    </row>
    <row r="476" spans="1:12" x14ac:dyDescent="0.3">
      <c r="A476" s="8" t="s">
        <v>23</v>
      </c>
      <c r="B476" s="11">
        <v>50</v>
      </c>
      <c r="C476" s="11" t="s">
        <v>4</v>
      </c>
      <c r="D476" s="11">
        <v>5</v>
      </c>
      <c r="E476" s="21">
        <v>0.66</v>
      </c>
      <c r="F476" s="11" t="s">
        <v>13</v>
      </c>
      <c r="G476" s="11" t="s">
        <v>17</v>
      </c>
      <c r="H476" s="12">
        <v>46630</v>
      </c>
      <c r="I476" s="12"/>
      <c r="J476" s="13"/>
      <c r="K476" t="str">
        <f t="shared" si="7"/>
        <v>DE50-SDR33</v>
      </c>
      <c r="L476" s="1">
        <f>VLOOKUP(K476,'[1]Tarif - Evolution Marché'!$F:$J,5,0)</f>
        <v>0.66099174897119339</v>
      </c>
    </row>
    <row r="477" spans="1:12" x14ac:dyDescent="0.3">
      <c r="A477" s="14" t="s">
        <v>23</v>
      </c>
      <c r="B477" s="15">
        <v>63</v>
      </c>
      <c r="C477" s="15" t="s">
        <v>4</v>
      </c>
      <c r="D477" s="15">
        <v>5</v>
      </c>
      <c r="E477" s="21">
        <v>0.92</v>
      </c>
      <c r="F477" s="15" t="s">
        <v>13</v>
      </c>
      <c r="G477" s="15" t="s">
        <v>17</v>
      </c>
      <c r="H477" s="17">
        <v>46630</v>
      </c>
      <c r="I477" s="17"/>
      <c r="J477" s="18"/>
      <c r="K477" t="str">
        <f t="shared" si="7"/>
        <v>DE63-SDR33</v>
      </c>
      <c r="L477" s="1">
        <f>VLOOKUP(K477,'[1]Tarif - Evolution Marché'!$F:$J,5,0)</f>
        <v>0.91855060288065848</v>
      </c>
    </row>
    <row r="478" spans="1:12" x14ac:dyDescent="0.3">
      <c r="A478" s="8" t="s">
        <v>23</v>
      </c>
      <c r="B478" s="11">
        <v>75</v>
      </c>
      <c r="C478" s="11" t="s">
        <v>4</v>
      </c>
      <c r="D478" s="11">
        <v>5</v>
      </c>
      <c r="E478" s="21">
        <v>1.27</v>
      </c>
      <c r="F478" s="11" t="s">
        <v>13</v>
      </c>
      <c r="G478" s="11" t="s">
        <v>17</v>
      </c>
      <c r="H478" s="12">
        <v>46630</v>
      </c>
      <c r="I478" s="12"/>
      <c r="J478" s="13"/>
      <c r="K478" t="str">
        <f t="shared" si="7"/>
        <v>DE75-SDR33</v>
      </c>
      <c r="L478" s="1">
        <f>VLOOKUP(K478,'[1]Tarif - Evolution Marché'!$F:$J,5,0)</f>
        <v>1.2695600144032924</v>
      </c>
    </row>
    <row r="479" spans="1:12" x14ac:dyDescent="0.3">
      <c r="A479" s="14" t="s">
        <v>23</v>
      </c>
      <c r="B479" s="15">
        <v>90</v>
      </c>
      <c r="C479" s="15" t="s">
        <v>4</v>
      </c>
      <c r="D479" s="15">
        <v>5</v>
      </c>
      <c r="E479" s="21">
        <v>1.82</v>
      </c>
      <c r="F479" s="15" t="s">
        <v>13</v>
      </c>
      <c r="G479" s="15" t="s">
        <v>17</v>
      </c>
      <c r="H479" s="17">
        <v>46630</v>
      </c>
      <c r="I479" s="17"/>
      <c r="J479" s="18"/>
      <c r="K479" t="str">
        <f t="shared" si="7"/>
        <v>DE90-SDR33</v>
      </c>
      <c r="L479" s="1">
        <f>VLOOKUP(K479,'[1]Tarif - Evolution Marché'!$F:$J,5,0)</f>
        <v>1.8234255144032923</v>
      </c>
    </row>
    <row r="480" spans="1:12" x14ac:dyDescent="0.3">
      <c r="A480" s="8" t="s">
        <v>23</v>
      </c>
      <c r="B480" s="11">
        <v>110</v>
      </c>
      <c r="C480" s="11" t="s">
        <v>4</v>
      </c>
      <c r="D480" s="11">
        <v>5</v>
      </c>
      <c r="E480" s="21">
        <v>2.71</v>
      </c>
      <c r="F480" s="11" t="s">
        <v>13</v>
      </c>
      <c r="G480" s="11" t="s">
        <v>17</v>
      </c>
      <c r="H480" s="12">
        <v>46630</v>
      </c>
      <c r="I480" s="12"/>
      <c r="J480" s="13"/>
      <c r="K480" t="str">
        <f t="shared" si="7"/>
        <v>DE110-SDR33</v>
      </c>
      <c r="L480" s="1">
        <f>VLOOKUP(K480,'[1]Tarif - Evolution Marché'!$F:$J,5,0)</f>
        <v>2.7123454526748971</v>
      </c>
    </row>
    <row r="481" spans="1:12" x14ac:dyDescent="0.3">
      <c r="A481" s="14" t="s">
        <v>23</v>
      </c>
      <c r="B481" s="15">
        <v>125</v>
      </c>
      <c r="C481" s="15" t="s">
        <v>4</v>
      </c>
      <c r="D481" s="15">
        <v>5</v>
      </c>
      <c r="E481" s="21">
        <v>3.49</v>
      </c>
      <c r="F481" s="15" t="s">
        <v>13</v>
      </c>
      <c r="G481" s="15" t="s">
        <v>17</v>
      </c>
      <c r="H481" s="17">
        <v>46630</v>
      </c>
      <c r="I481" s="15">
        <v>2400</v>
      </c>
      <c r="J481" s="18">
        <v>2800</v>
      </c>
      <c r="K481" t="str">
        <f t="shared" si="7"/>
        <v>DE125-SDR33</v>
      </c>
      <c r="L481" s="1">
        <f>VLOOKUP(K481,'[1]Tarif - Evolution Marché'!$F:$J,5,0)</f>
        <v>3.4873012962962964</v>
      </c>
    </row>
    <row r="482" spans="1:12" x14ac:dyDescent="0.3">
      <c r="A482" s="8" t="s">
        <v>23</v>
      </c>
      <c r="B482" s="11">
        <v>140</v>
      </c>
      <c r="C482" s="11" t="s">
        <v>4</v>
      </c>
      <c r="D482" s="11">
        <v>5</v>
      </c>
      <c r="E482" s="21">
        <v>4.33</v>
      </c>
      <c r="F482" s="11" t="s">
        <v>13</v>
      </c>
      <c r="G482" s="11" t="s">
        <v>17</v>
      </c>
      <c r="H482" s="12">
        <v>46630</v>
      </c>
      <c r="I482" s="11">
        <v>1920</v>
      </c>
      <c r="J482" s="13">
        <v>2240</v>
      </c>
      <c r="K482" t="str">
        <f t="shared" si="7"/>
        <v>DE140-SDR33</v>
      </c>
      <c r="L482" s="1">
        <f>VLOOKUP(K482,'[1]Tarif - Evolution Marché'!$F:$J,5,0)</f>
        <v>4.3306355967078183</v>
      </c>
    </row>
    <row r="483" spans="1:12" x14ac:dyDescent="0.3">
      <c r="A483" s="14" t="s">
        <v>23</v>
      </c>
      <c r="B483" s="15">
        <v>160</v>
      </c>
      <c r="C483" s="15" t="s">
        <v>4</v>
      </c>
      <c r="D483" s="15">
        <v>5</v>
      </c>
      <c r="E483" s="21">
        <v>5.58</v>
      </c>
      <c r="F483" s="15" t="s">
        <v>13</v>
      </c>
      <c r="G483" s="15" t="s">
        <v>17</v>
      </c>
      <c r="H483" s="17">
        <v>46630</v>
      </c>
      <c r="I483" s="15">
        <v>1920</v>
      </c>
      <c r="J483" s="18">
        <v>2240</v>
      </c>
      <c r="K483" t="str">
        <f t="shared" si="7"/>
        <v>DE160-SDR33</v>
      </c>
      <c r="L483" s="1">
        <f>VLOOKUP(K483,'[1]Tarif - Evolution Marché'!$F:$J,5,0)</f>
        <v>5.5842406378600824</v>
      </c>
    </row>
    <row r="484" spans="1:12" x14ac:dyDescent="0.3">
      <c r="A484" s="8" t="s">
        <v>23</v>
      </c>
      <c r="B484" s="11">
        <v>180</v>
      </c>
      <c r="C484" s="11" t="s">
        <v>4</v>
      </c>
      <c r="D484" s="11">
        <v>5</v>
      </c>
      <c r="E484" s="21">
        <v>7.07</v>
      </c>
      <c r="F484" s="11" t="s">
        <v>13</v>
      </c>
      <c r="G484" s="11" t="s">
        <v>17</v>
      </c>
      <c r="H484" s="12">
        <v>46630</v>
      </c>
      <c r="I484" s="11">
        <v>1200</v>
      </c>
      <c r="J484" s="13">
        <v>1400</v>
      </c>
      <c r="K484" t="str">
        <f t="shared" si="7"/>
        <v>DE180-SDR33</v>
      </c>
      <c r="L484" s="1">
        <f>VLOOKUP(K484,'[1]Tarif - Evolution Marché'!$F:$J,5,0)</f>
        <v>7.0657738683127578</v>
      </c>
    </row>
    <row r="485" spans="1:12" x14ac:dyDescent="0.3">
      <c r="A485" s="14" t="s">
        <v>23</v>
      </c>
      <c r="B485" s="15">
        <v>200</v>
      </c>
      <c r="C485" s="15" t="s">
        <v>4</v>
      </c>
      <c r="D485" s="15">
        <v>5</v>
      </c>
      <c r="E485" s="21">
        <v>8.84</v>
      </c>
      <c r="F485" s="15" t="s">
        <v>13</v>
      </c>
      <c r="G485" s="15" t="s">
        <v>17</v>
      </c>
      <c r="H485" s="17">
        <v>46630</v>
      </c>
      <c r="I485" s="15">
        <v>960</v>
      </c>
      <c r="J485" s="18">
        <v>1120</v>
      </c>
      <c r="K485" t="str">
        <f t="shared" si="7"/>
        <v>DE200-SDR33</v>
      </c>
      <c r="L485" s="1">
        <f>VLOOKUP(K485,'[1]Tarif - Evolution Marché'!$F:$J,5,0)</f>
        <v>8.8436137448559666</v>
      </c>
    </row>
    <row r="486" spans="1:12" x14ac:dyDescent="0.3">
      <c r="A486" s="8" t="s">
        <v>23</v>
      </c>
      <c r="B486" s="11">
        <v>225</v>
      </c>
      <c r="C486" s="11" t="s">
        <v>4</v>
      </c>
      <c r="D486" s="11">
        <v>5</v>
      </c>
      <c r="E486" s="21">
        <v>10.99</v>
      </c>
      <c r="F486" s="11" t="s">
        <v>13</v>
      </c>
      <c r="G486" s="11" t="s">
        <v>17</v>
      </c>
      <c r="H486" s="12">
        <v>46630</v>
      </c>
      <c r="I486" s="11">
        <v>960</v>
      </c>
      <c r="J486" s="13">
        <v>1120</v>
      </c>
      <c r="K486" t="str">
        <f t="shared" si="7"/>
        <v>DE225-SDR33</v>
      </c>
      <c r="L486" s="1">
        <f>VLOOKUP(K486,'[1]Tarif - Evolution Marché'!$F:$J,5,0)</f>
        <v>10.986138724279837</v>
      </c>
    </row>
    <row r="487" spans="1:12" x14ac:dyDescent="0.3">
      <c r="A487" s="14" t="s">
        <v>23</v>
      </c>
      <c r="B487" s="15">
        <v>250</v>
      </c>
      <c r="C487" s="15" t="s">
        <v>4</v>
      </c>
      <c r="D487" s="15">
        <v>5</v>
      </c>
      <c r="E487" s="21">
        <v>13.63</v>
      </c>
      <c r="F487" s="15" t="s">
        <v>13</v>
      </c>
      <c r="G487" s="15" t="s">
        <v>17</v>
      </c>
      <c r="H487" s="17">
        <v>46630</v>
      </c>
      <c r="I487" s="15">
        <v>672</v>
      </c>
      <c r="J487" s="18">
        <v>784</v>
      </c>
      <c r="K487" t="str">
        <f t="shared" si="7"/>
        <v>DE250-SDR33</v>
      </c>
      <c r="L487" s="1">
        <f>VLOOKUP(K487,'[1]Tarif - Evolution Marché'!$F:$J,5,0)</f>
        <v>13.630105720164609</v>
      </c>
    </row>
    <row r="488" spans="1:12" x14ac:dyDescent="0.3">
      <c r="A488" s="8" t="s">
        <v>23</v>
      </c>
      <c r="B488" s="11">
        <v>280</v>
      </c>
      <c r="C488" s="11" t="s">
        <v>4</v>
      </c>
      <c r="D488" s="11">
        <v>5</v>
      </c>
      <c r="E488" s="21">
        <v>17.03</v>
      </c>
      <c r="F488" s="11" t="s">
        <v>13</v>
      </c>
      <c r="G488" s="11" t="s">
        <v>17</v>
      </c>
      <c r="H488" s="12">
        <v>46630</v>
      </c>
      <c r="I488" s="11">
        <v>672</v>
      </c>
      <c r="J488" s="13">
        <v>784</v>
      </c>
      <c r="K488" t="str">
        <f t="shared" si="7"/>
        <v>DE280-SDR33</v>
      </c>
      <c r="L488" s="1">
        <f>VLOOKUP(K488,'[1]Tarif - Evolution Marché'!$F:$J,5,0)</f>
        <v>17.026235740740741</v>
      </c>
    </row>
    <row r="489" spans="1:12" x14ac:dyDescent="0.3">
      <c r="A489" s="14" t="s">
        <v>23</v>
      </c>
      <c r="B489" s="15">
        <v>315</v>
      </c>
      <c r="C489" s="15" t="s">
        <v>4</v>
      </c>
      <c r="D489" s="15">
        <v>5</v>
      </c>
      <c r="E489" s="21">
        <v>21.58</v>
      </c>
      <c r="F489" s="15" t="s">
        <v>13</v>
      </c>
      <c r="G489" s="15" t="s">
        <v>17</v>
      </c>
      <c r="H489" s="17">
        <v>46630</v>
      </c>
      <c r="I489" s="15">
        <v>432</v>
      </c>
      <c r="J489" s="18">
        <v>504</v>
      </c>
      <c r="K489" t="str">
        <f t="shared" si="7"/>
        <v>DE315-SDR33</v>
      </c>
      <c r="L489" s="1">
        <f>VLOOKUP(K489,'[1]Tarif - Evolution Marché'!$F:$J,5,0)</f>
        <v>21.584799526748974</v>
      </c>
    </row>
    <row r="490" spans="1:12" x14ac:dyDescent="0.3">
      <c r="A490" s="8" t="s">
        <v>23</v>
      </c>
      <c r="B490" s="11">
        <v>355</v>
      </c>
      <c r="C490" s="11" t="s">
        <v>4</v>
      </c>
      <c r="D490" s="11">
        <v>5</v>
      </c>
      <c r="E490" s="21">
        <v>27.35</v>
      </c>
      <c r="F490" s="11" t="s">
        <v>13</v>
      </c>
      <c r="G490" s="11" t="s">
        <v>17</v>
      </c>
      <c r="H490" s="12">
        <v>46630</v>
      </c>
      <c r="I490" s="11">
        <v>360</v>
      </c>
      <c r="J490" s="13">
        <v>420</v>
      </c>
      <c r="K490" t="str">
        <f t="shared" si="7"/>
        <v>DE355-SDR33</v>
      </c>
      <c r="L490" s="1">
        <f>VLOOKUP(K490,'[1]Tarif - Evolution Marché'!$F:$J,5,0)</f>
        <v>27.351382716049383</v>
      </c>
    </row>
    <row r="491" spans="1:12" x14ac:dyDescent="0.3">
      <c r="A491" s="14" t="s">
        <v>23</v>
      </c>
      <c r="B491" s="15">
        <v>400</v>
      </c>
      <c r="C491" s="15" t="s">
        <v>4</v>
      </c>
      <c r="D491" s="15">
        <v>5</v>
      </c>
      <c r="E491" s="21">
        <v>34.65</v>
      </c>
      <c r="F491" s="15" t="s">
        <v>13</v>
      </c>
      <c r="G491" s="15" t="s">
        <v>17</v>
      </c>
      <c r="H491" s="17">
        <v>46630</v>
      </c>
      <c r="I491" s="15">
        <v>360</v>
      </c>
      <c r="J491" s="18">
        <v>420</v>
      </c>
      <c r="K491" t="str">
        <f t="shared" si="7"/>
        <v>DE400-SDR33</v>
      </c>
      <c r="L491" s="1">
        <f>VLOOKUP(K491,'[1]Tarif - Evolution Marché'!$F:$J,5,0)</f>
        <v>34.645084773662546</v>
      </c>
    </row>
    <row r="492" spans="1:12" x14ac:dyDescent="0.3">
      <c r="A492" s="8" t="s">
        <v>23</v>
      </c>
      <c r="B492" s="11">
        <v>450</v>
      </c>
      <c r="C492" s="11" t="s">
        <v>4</v>
      </c>
      <c r="D492" s="11">
        <v>5</v>
      </c>
      <c r="E492" s="21">
        <v>43.76</v>
      </c>
      <c r="F492" s="11" t="s">
        <v>13</v>
      </c>
      <c r="G492" s="11" t="s">
        <v>17</v>
      </c>
      <c r="H492" s="12">
        <v>46630</v>
      </c>
      <c r="I492" s="11">
        <v>192</v>
      </c>
      <c r="J492" s="13">
        <v>224</v>
      </c>
      <c r="K492" t="str">
        <f t="shared" si="7"/>
        <v>DE450-SDR33</v>
      </c>
      <c r="L492" s="1">
        <f>VLOOKUP(K492,'[1]Tarif - Evolution Marché'!$F:$J,5,0)</f>
        <v>43.762212345679011</v>
      </c>
    </row>
    <row r="493" spans="1:12" x14ac:dyDescent="0.3">
      <c r="A493" s="14" t="s">
        <v>23</v>
      </c>
      <c r="B493" s="15">
        <v>500</v>
      </c>
      <c r="C493" s="15" t="s">
        <v>4</v>
      </c>
      <c r="D493" s="15">
        <v>5</v>
      </c>
      <c r="E493" s="21">
        <v>53.79</v>
      </c>
      <c r="F493" s="15" t="s">
        <v>13</v>
      </c>
      <c r="G493" s="15" t="s">
        <v>17</v>
      </c>
      <c r="H493" s="17">
        <v>46630</v>
      </c>
      <c r="I493" s="15">
        <v>192</v>
      </c>
      <c r="J493" s="18">
        <v>224</v>
      </c>
      <c r="K493" t="str">
        <f t="shared" si="7"/>
        <v>DE500-SDR33</v>
      </c>
      <c r="L493" s="1">
        <f>VLOOKUP(K493,'[1]Tarif - Evolution Marché'!$F:$J,5,0)</f>
        <v>53.791052674897124</v>
      </c>
    </row>
    <row r="494" spans="1:12" x14ac:dyDescent="0.3">
      <c r="A494" s="8" t="s">
        <v>23</v>
      </c>
      <c r="B494" s="11">
        <v>560</v>
      </c>
      <c r="C494" s="11" t="s">
        <v>4</v>
      </c>
      <c r="D494" s="11">
        <v>5</v>
      </c>
      <c r="E494" s="21">
        <v>67.69</v>
      </c>
      <c r="F494" s="11" t="s">
        <v>13</v>
      </c>
      <c r="G494" s="11" t="s">
        <v>17</v>
      </c>
      <c r="H494" s="12">
        <v>46630</v>
      </c>
      <c r="I494" s="11">
        <v>192</v>
      </c>
      <c r="J494" s="13">
        <v>224</v>
      </c>
      <c r="K494" t="str">
        <f t="shared" si="7"/>
        <v>DE560-SDR33</v>
      </c>
      <c r="L494" s="1">
        <f>VLOOKUP(K494,'[1]Tarif - Evolution Marché'!$F:$J,5,0)</f>
        <v>67.694672222222223</v>
      </c>
    </row>
    <row r="495" spans="1:12" x14ac:dyDescent="0.3">
      <c r="A495" s="14" t="s">
        <v>23</v>
      </c>
      <c r="B495" s="15">
        <v>630</v>
      </c>
      <c r="C495" s="15" t="s">
        <v>4</v>
      </c>
      <c r="D495" s="15">
        <v>5</v>
      </c>
      <c r="E495" s="21">
        <v>85.47</v>
      </c>
      <c r="F495" s="15" t="s">
        <v>13</v>
      </c>
      <c r="G495" s="15" t="s">
        <v>17</v>
      </c>
      <c r="H495" s="17">
        <v>46630</v>
      </c>
      <c r="I495" s="15">
        <v>108</v>
      </c>
      <c r="J495" s="18">
        <v>126</v>
      </c>
      <c r="K495" t="str">
        <f t="shared" si="7"/>
        <v>DE630-SDR33</v>
      </c>
      <c r="L495" s="1">
        <f>VLOOKUP(K495,'[1]Tarif - Evolution Marché'!$F:$J,5,0)</f>
        <v>85.473070987654324</v>
      </c>
    </row>
    <row r="496" spans="1:12" x14ac:dyDescent="0.3">
      <c r="A496" s="8" t="s">
        <v>23</v>
      </c>
      <c r="B496" s="11">
        <v>710</v>
      </c>
      <c r="C496" s="11" t="s">
        <v>4</v>
      </c>
      <c r="D496" s="11">
        <v>5</v>
      </c>
      <c r="E496" s="21">
        <v>108.72</v>
      </c>
      <c r="F496" s="11" t="s">
        <v>13</v>
      </c>
      <c r="G496" s="11" t="s">
        <v>17</v>
      </c>
      <c r="H496" s="12">
        <v>46630</v>
      </c>
      <c r="I496" s="11">
        <v>108</v>
      </c>
      <c r="J496" s="13">
        <v>126</v>
      </c>
      <c r="K496" t="str">
        <f t="shared" si="7"/>
        <v>DE710-SDR33</v>
      </c>
      <c r="L496" s="1">
        <f>VLOOKUP(K496,'[1]Tarif - Evolution Marché'!$F:$J,5,0)</f>
        <v>108.7217462962963</v>
      </c>
    </row>
    <row r="497" spans="1:12" x14ac:dyDescent="0.3">
      <c r="A497" s="14" t="s">
        <v>23</v>
      </c>
      <c r="B497" s="15">
        <v>800</v>
      </c>
      <c r="C497" s="15" t="s">
        <v>4</v>
      </c>
      <c r="D497" s="15">
        <v>5</v>
      </c>
      <c r="E497" s="21">
        <v>137.66999999999999</v>
      </c>
      <c r="F497" s="15" t="s">
        <v>13</v>
      </c>
      <c r="G497" s="15" t="s">
        <v>17</v>
      </c>
      <c r="H497" s="17">
        <v>46630</v>
      </c>
      <c r="I497" s="15">
        <v>108</v>
      </c>
      <c r="J497" s="18">
        <v>126</v>
      </c>
      <c r="K497" t="str">
        <f t="shared" si="7"/>
        <v>DE800-SDR33</v>
      </c>
      <c r="L497" s="1">
        <f>VLOOKUP(K497,'[1]Tarif - Evolution Marché'!$F:$J,5,0)</f>
        <v>137.66862633744856</v>
      </c>
    </row>
    <row r="498" spans="1:12" x14ac:dyDescent="0.3">
      <c r="A498" s="8" t="s">
        <v>23</v>
      </c>
      <c r="B498" s="11">
        <v>900</v>
      </c>
      <c r="C498" s="11" t="s">
        <v>4</v>
      </c>
      <c r="D498" s="11">
        <v>5</v>
      </c>
      <c r="E498" s="21">
        <v>174.14</v>
      </c>
      <c r="F498" s="11" t="s">
        <v>13</v>
      </c>
      <c r="G498" s="11" t="s">
        <v>17</v>
      </c>
      <c r="H498" s="12">
        <v>46630</v>
      </c>
      <c r="I498" s="11">
        <v>72</v>
      </c>
      <c r="J498" s="13">
        <v>84</v>
      </c>
      <c r="K498" t="str">
        <f t="shared" si="7"/>
        <v>DE900-SDR33</v>
      </c>
      <c r="L498" s="1">
        <f>VLOOKUP(K498,'[1]Tarif - Evolution Marché'!$F:$J,5,0)</f>
        <v>174.13713662551442</v>
      </c>
    </row>
    <row r="499" spans="1:12" x14ac:dyDescent="0.3">
      <c r="A499" s="14" t="s">
        <v>23</v>
      </c>
      <c r="B499" s="15">
        <v>1000</v>
      </c>
      <c r="C499" s="15" t="s">
        <v>4</v>
      </c>
      <c r="D499" s="15">
        <v>5</v>
      </c>
      <c r="E499" s="21">
        <v>214.48</v>
      </c>
      <c r="F499" s="15" t="s">
        <v>13</v>
      </c>
      <c r="G499" s="15" t="s">
        <v>17</v>
      </c>
      <c r="H499" s="17">
        <v>46630</v>
      </c>
      <c r="I499" s="15">
        <v>48</v>
      </c>
      <c r="J499" s="18">
        <v>56</v>
      </c>
      <c r="K499" t="str">
        <f t="shared" si="7"/>
        <v>DE1000-SDR33</v>
      </c>
      <c r="L499" s="1">
        <f>VLOOKUP(K499,'[1]Tarif - Evolution Marché'!$F:$J,5,0)</f>
        <v>214.48042613168724</v>
      </c>
    </row>
    <row r="500" spans="1:12" x14ac:dyDescent="0.3">
      <c r="A500" s="8" t="s">
        <v>23</v>
      </c>
      <c r="B500" s="11">
        <v>1200</v>
      </c>
      <c r="C500" s="11" t="s">
        <v>4</v>
      </c>
      <c r="D500" s="11">
        <v>5</v>
      </c>
      <c r="E500" s="21">
        <v>307.7</v>
      </c>
      <c r="F500" s="11" t="s">
        <v>13</v>
      </c>
      <c r="G500" s="11" t="s">
        <v>17</v>
      </c>
      <c r="H500" s="12">
        <v>46630</v>
      </c>
      <c r="I500" s="11">
        <v>36</v>
      </c>
      <c r="J500" s="13">
        <v>42</v>
      </c>
      <c r="K500" t="str">
        <f t="shared" si="7"/>
        <v>DE1200-SDR33</v>
      </c>
      <c r="L500" s="1">
        <f>VLOOKUP(K500,'[1]Tarif - Evolution Marché'!$F:$J,5,0)</f>
        <v>307.70305555555558</v>
      </c>
    </row>
    <row r="501" spans="1:12" x14ac:dyDescent="0.3">
      <c r="A501" s="14" t="s">
        <v>23</v>
      </c>
      <c r="B501" s="15">
        <v>40</v>
      </c>
      <c r="C501" s="15" t="s">
        <v>5</v>
      </c>
      <c r="D501" s="15">
        <v>6</v>
      </c>
      <c r="E501" s="21">
        <v>0.52</v>
      </c>
      <c r="F501" s="15" t="s">
        <v>13</v>
      </c>
      <c r="G501" s="15" t="s">
        <v>17</v>
      </c>
      <c r="H501" s="17">
        <v>46630</v>
      </c>
      <c r="I501" s="17"/>
      <c r="J501" s="18"/>
      <c r="K501" t="str">
        <f t="shared" si="7"/>
        <v>DE40-SDR26</v>
      </c>
      <c r="L501" s="1">
        <f>VLOOKUP(K501,'[1]Tarif - Evolution Marché'!$F:$J,5,0)</f>
        <v>0.52195555349794243</v>
      </c>
    </row>
    <row r="502" spans="1:12" x14ac:dyDescent="0.3">
      <c r="A502" s="8" t="s">
        <v>23</v>
      </c>
      <c r="B502" s="11">
        <v>50</v>
      </c>
      <c r="C502" s="11" t="s">
        <v>5</v>
      </c>
      <c r="D502" s="11">
        <v>6</v>
      </c>
      <c r="E502" s="21">
        <v>0.72</v>
      </c>
      <c r="F502" s="11" t="s">
        <v>13</v>
      </c>
      <c r="G502" s="11" t="s">
        <v>17</v>
      </c>
      <c r="H502" s="12">
        <v>46630</v>
      </c>
      <c r="I502" s="12"/>
      <c r="J502" s="13"/>
      <c r="K502" t="str">
        <f t="shared" si="7"/>
        <v>DE50-SDR26</v>
      </c>
      <c r="L502" s="1">
        <f>VLOOKUP(K502,'[1]Tarif - Evolution Marché'!$F:$J,5,0)</f>
        <v>0.72253236008230448</v>
      </c>
    </row>
    <row r="503" spans="1:12" x14ac:dyDescent="0.3">
      <c r="A503" s="14" t="s">
        <v>23</v>
      </c>
      <c r="B503" s="15">
        <v>63</v>
      </c>
      <c r="C503" s="15" t="s">
        <v>5</v>
      </c>
      <c r="D503" s="15">
        <v>6</v>
      </c>
      <c r="E503" s="21">
        <v>1.1399999999999999</v>
      </c>
      <c r="F503" s="15" t="s">
        <v>13</v>
      </c>
      <c r="G503" s="15" t="s">
        <v>17</v>
      </c>
      <c r="H503" s="17">
        <v>46630</v>
      </c>
      <c r="I503" s="17"/>
      <c r="J503" s="18"/>
      <c r="K503" t="str">
        <f t="shared" si="7"/>
        <v>DE63-SDR26</v>
      </c>
      <c r="L503" s="1">
        <f>VLOOKUP(K503,'[1]Tarif - Evolution Marché'!$F:$J,5,0)</f>
        <v>1.1396409465020576</v>
      </c>
    </row>
    <row r="504" spans="1:12" x14ac:dyDescent="0.3">
      <c r="A504" s="8" t="s">
        <v>23</v>
      </c>
      <c r="B504" s="11">
        <v>75</v>
      </c>
      <c r="C504" s="11" t="s">
        <v>5</v>
      </c>
      <c r="D504" s="11">
        <v>6</v>
      </c>
      <c r="E504" s="21">
        <v>1.56</v>
      </c>
      <c r="F504" s="11" t="s">
        <v>13</v>
      </c>
      <c r="G504" s="11" t="s">
        <v>17</v>
      </c>
      <c r="H504" s="12">
        <v>46630</v>
      </c>
      <c r="I504" s="12"/>
      <c r="J504" s="13"/>
      <c r="K504" t="str">
        <f t="shared" si="7"/>
        <v>DE75-SDR26</v>
      </c>
      <c r="L504" s="1">
        <f>VLOOKUP(K504,'[1]Tarif - Evolution Marché'!$F:$J,5,0)</f>
        <v>1.5567495329218108</v>
      </c>
    </row>
    <row r="505" spans="1:12" x14ac:dyDescent="0.3">
      <c r="A505" s="14" t="s">
        <v>23</v>
      </c>
      <c r="B505" s="15">
        <v>90</v>
      </c>
      <c r="C505" s="15" t="s">
        <v>5</v>
      </c>
      <c r="D505" s="15">
        <v>6</v>
      </c>
      <c r="E505" s="21">
        <v>2.25</v>
      </c>
      <c r="F505" s="15" t="s">
        <v>13</v>
      </c>
      <c r="G505" s="15" t="s">
        <v>17</v>
      </c>
      <c r="H505" s="17">
        <v>46630</v>
      </c>
      <c r="I505" s="17"/>
      <c r="J505" s="18"/>
      <c r="K505" t="str">
        <f t="shared" si="7"/>
        <v>DE90-SDR26</v>
      </c>
      <c r="L505" s="1">
        <f>VLOOKUP(K505,'[1]Tarif - Evolution Marché'!$F:$J,5,0)</f>
        <v>2.2519305102880658</v>
      </c>
    </row>
    <row r="506" spans="1:12" x14ac:dyDescent="0.3">
      <c r="A506" s="8" t="s">
        <v>23</v>
      </c>
      <c r="B506" s="11">
        <v>110</v>
      </c>
      <c r="C506" s="11" t="s">
        <v>5</v>
      </c>
      <c r="D506" s="11">
        <v>6</v>
      </c>
      <c r="E506" s="21">
        <v>3.3</v>
      </c>
      <c r="F506" s="11" t="s">
        <v>13</v>
      </c>
      <c r="G506" s="11" t="s">
        <v>17</v>
      </c>
      <c r="H506" s="12">
        <v>46630</v>
      </c>
      <c r="I506" s="12"/>
      <c r="J506" s="13"/>
      <c r="K506" t="str">
        <f t="shared" si="7"/>
        <v>DE110-SDR26</v>
      </c>
      <c r="L506" s="1">
        <f>VLOOKUP(K506,'[1]Tarif - Evolution Marché'!$F:$J,5,0)</f>
        <v>3.3049587448559667</v>
      </c>
    </row>
    <row r="507" spans="1:12" x14ac:dyDescent="0.3">
      <c r="A507" s="14" t="s">
        <v>23</v>
      </c>
      <c r="B507" s="15">
        <v>125</v>
      </c>
      <c r="C507" s="15" t="s">
        <v>5</v>
      </c>
      <c r="D507" s="15">
        <v>6</v>
      </c>
      <c r="E507" s="21">
        <v>4.24</v>
      </c>
      <c r="F507" s="15" t="s">
        <v>13</v>
      </c>
      <c r="G507" s="15" t="s">
        <v>17</v>
      </c>
      <c r="H507" s="17">
        <v>46630</v>
      </c>
      <c r="I507" s="15">
        <v>2400</v>
      </c>
      <c r="J507" s="18">
        <v>2800</v>
      </c>
      <c r="K507" t="str">
        <f t="shared" si="7"/>
        <v>DE125-SDR26</v>
      </c>
      <c r="L507" s="1">
        <f>VLOOKUP(K507,'[1]Tarif - Evolution Marché'!$F:$J,5,0)</f>
        <v>4.2394643209876541</v>
      </c>
    </row>
    <row r="508" spans="1:12" x14ac:dyDescent="0.3">
      <c r="A508" s="8" t="s">
        <v>23</v>
      </c>
      <c r="B508" s="11">
        <v>140</v>
      </c>
      <c r="C508" s="11" t="s">
        <v>5</v>
      </c>
      <c r="D508" s="11">
        <v>6</v>
      </c>
      <c r="E508" s="21">
        <v>5.36</v>
      </c>
      <c r="F508" s="11" t="s">
        <v>13</v>
      </c>
      <c r="G508" s="11" t="s">
        <v>17</v>
      </c>
      <c r="H508" s="12">
        <v>46630</v>
      </c>
      <c r="I508" s="11">
        <v>1920</v>
      </c>
      <c r="J508" s="13">
        <v>2240</v>
      </c>
      <c r="K508" t="str">
        <f t="shared" si="7"/>
        <v>DE140-SDR26</v>
      </c>
      <c r="L508" s="1">
        <f>VLOOKUP(K508,'[1]Tarif - Evolution Marché'!$F:$J,5,0)</f>
        <v>5.3563124485596711</v>
      </c>
    </row>
    <row r="509" spans="1:12" x14ac:dyDescent="0.3">
      <c r="A509" s="14" t="s">
        <v>23</v>
      </c>
      <c r="B509" s="15">
        <v>160</v>
      </c>
      <c r="C509" s="15" t="s">
        <v>5</v>
      </c>
      <c r="D509" s="15">
        <v>6</v>
      </c>
      <c r="E509" s="21">
        <v>7.02</v>
      </c>
      <c r="F509" s="15" t="s">
        <v>13</v>
      </c>
      <c r="G509" s="15" t="s">
        <v>17</v>
      </c>
      <c r="H509" s="17">
        <v>46630</v>
      </c>
      <c r="I509" s="15">
        <v>1920</v>
      </c>
      <c r="J509" s="18">
        <v>2240</v>
      </c>
      <c r="K509" t="str">
        <f t="shared" si="7"/>
        <v>DE160-SDR26</v>
      </c>
      <c r="L509" s="1">
        <f>VLOOKUP(K509,'[1]Tarif - Evolution Marché'!$F:$J,5,0)</f>
        <v>7.0201882304526748</v>
      </c>
    </row>
    <row r="510" spans="1:12" x14ac:dyDescent="0.3">
      <c r="A510" s="8" t="s">
        <v>23</v>
      </c>
      <c r="B510" s="11">
        <v>180</v>
      </c>
      <c r="C510" s="11" t="s">
        <v>5</v>
      </c>
      <c r="D510" s="11">
        <v>6</v>
      </c>
      <c r="E510" s="21">
        <v>8.73</v>
      </c>
      <c r="F510" s="11" t="s">
        <v>13</v>
      </c>
      <c r="G510" s="11" t="s">
        <v>17</v>
      </c>
      <c r="H510" s="12">
        <v>46630</v>
      </c>
      <c r="I510" s="11">
        <v>1200</v>
      </c>
      <c r="J510" s="13">
        <v>1400</v>
      </c>
      <c r="K510" t="str">
        <f t="shared" si="7"/>
        <v>DE180-SDR26</v>
      </c>
      <c r="L510" s="1">
        <f>VLOOKUP(K510,'[1]Tarif - Evolution Marché'!$F:$J,5,0)</f>
        <v>8.7296496502057614</v>
      </c>
    </row>
    <row r="511" spans="1:12" x14ac:dyDescent="0.3">
      <c r="A511" s="14" t="s">
        <v>23</v>
      </c>
      <c r="B511" s="15">
        <v>200</v>
      </c>
      <c r="C511" s="15" t="s">
        <v>5</v>
      </c>
      <c r="D511" s="15">
        <v>6</v>
      </c>
      <c r="E511" s="21">
        <v>10.8</v>
      </c>
      <c r="F511" s="15" t="s">
        <v>13</v>
      </c>
      <c r="G511" s="15" t="s">
        <v>17</v>
      </c>
      <c r="H511" s="17">
        <v>46630</v>
      </c>
      <c r="I511" s="15">
        <v>960</v>
      </c>
      <c r="J511" s="18">
        <v>1120</v>
      </c>
      <c r="K511" t="str">
        <f t="shared" si="7"/>
        <v>DE200-SDR26</v>
      </c>
      <c r="L511" s="1">
        <f>VLOOKUP(K511,'[1]Tarif - Evolution Marché'!$F:$J,5,0)</f>
        <v>10.803796172839506</v>
      </c>
    </row>
    <row r="512" spans="1:12" x14ac:dyDescent="0.3">
      <c r="A512" s="8" t="s">
        <v>23</v>
      </c>
      <c r="B512" s="11">
        <v>225</v>
      </c>
      <c r="C512" s="11" t="s">
        <v>5</v>
      </c>
      <c r="D512" s="11">
        <v>6</v>
      </c>
      <c r="E512" s="21">
        <v>13.58</v>
      </c>
      <c r="F512" s="11" t="s">
        <v>13</v>
      </c>
      <c r="G512" s="11" t="s">
        <v>17</v>
      </c>
      <c r="H512" s="12">
        <v>46630</v>
      </c>
      <c r="I512" s="11">
        <v>960</v>
      </c>
      <c r="J512" s="13">
        <v>1120</v>
      </c>
      <c r="K512" t="str">
        <f t="shared" si="7"/>
        <v>DE225-SDR26</v>
      </c>
      <c r="L512" s="1">
        <f>VLOOKUP(K512,'[1]Tarif - Evolution Marché'!$F:$J,5,0)</f>
        <v>13.584520082304527</v>
      </c>
    </row>
    <row r="513" spans="1:12" x14ac:dyDescent="0.3">
      <c r="A513" s="14" t="s">
        <v>23</v>
      </c>
      <c r="B513" s="15">
        <v>250</v>
      </c>
      <c r="C513" s="15" t="s">
        <v>5</v>
      </c>
      <c r="D513" s="15">
        <v>6</v>
      </c>
      <c r="E513" s="21">
        <v>16.82</v>
      </c>
      <c r="F513" s="15" t="s">
        <v>13</v>
      </c>
      <c r="G513" s="15" t="s">
        <v>17</v>
      </c>
      <c r="H513" s="17">
        <v>46630</v>
      </c>
      <c r="I513" s="15">
        <v>672</v>
      </c>
      <c r="J513" s="18">
        <v>784</v>
      </c>
      <c r="K513" t="str">
        <f t="shared" si="7"/>
        <v>DE250-SDR26</v>
      </c>
      <c r="L513" s="1">
        <f>VLOOKUP(K513,'[1]Tarif - Evolution Marché'!$F:$J,5,0)</f>
        <v>16.82110037037037</v>
      </c>
    </row>
    <row r="514" spans="1:12" x14ac:dyDescent="0.3">
      <c r="A514" s="8" t="s">
        <v>23</v>
      </c>
      <c r="B514" s="11">
        <v>280</v>
      </c>
      <c r="C514" s="11" t="s">
        <v>5</v>
      </c>
      <c r="D514" s="11">
        <v>6</v>
      </c>
      <c r="E514" s="21">
        <v>20.97</v>
      </c>
      <c r="F514" s="11" t="s">
        <v>13</v>
      </c>
      <c r="G514" s="11" t="s">
        <v>17</v>
      </c>
      <c r="H514" s="12">
        <v>46630</v>
      </c>
      <c r="I514" s="11">
        <v>672</v>
      </c>
      <c r="J514" s="13">
        <v>784</v>
      </c>
      <c r="K514" t="str">
        <f t="shared" si="7"/>
        <v>DE280-SDR26</v>
      </c>
      <c r="L514" s="1">
        <f>VLOOKUP(K514,'[1]Tarif - Evolution Marché'!$F:$J,5,0)</f>
        <v>20.969393415637857</v>
      </c>
    </row>
    <row r="515" spans="1:12" x14ac:dyDescent="0.3">
      <c r="A515" s="14" t="s">
        <v>23</v>
      </c>
      <c r="B515" s="15">
        <v>315</v>
      </c>
      <c r="C515" s="15" t="s">
        <v>5</v>
      </c>
      <c r="D515" s="15">
        <v>6</v>
      </c>
      <c r="E515" s="21">
        <v>26.67</v>
      </c>
      <c r="F515" s="15" t="s">
        <v>13</v>
      </c>
      <c r="G515" s="15" t="s">
        <v>17</v>
      </c>
      <c r="H515" s="17">
        <v>46630</v>
      </c>
      <c r="I515" s="15">
        <v>432</v>
      </c>
      <c r="J515" s="18">
        <v>504</v>
      </c>
      <c r="K515" t="str">
        <f t="shared" ref="K515:K578" si="8">CONCATENATE("DE",B515,"-",C515)</f>
        <v>DE315-SDR26</v>
      </c>
      <c r="L515" s="1">
        <f>VLOOKUP(K515,'[1]Tarif - Evolution Marché'!$F:$J,5,0)</f>
        <v>26.667598148148148</v>
      </c>
    </row>
    <row r="516" spans="1:12" x14ac:dyDescent="0.3">
      <c r="A516" s="8" t="s">
        <v>23</v>
      </c>
      <c r="B516" s="11">
        <v>355</v>
      </c>
      <c r="C516" s="11" t="s">
        <v>5</v>
      </c>
      <c r="D516" s="11">
        <v>6</v>
      </c>
      <c r="E516" s="21">
        <v>33.729999999999997</v>
      </c>
      <c r="F516" s="11" t="s">
        <v>13</v>
      </c>
      <c r="G516" s="11" t="s">
        <v>17</v>
      </c>
      <c r="H516" s="12">
        <v>46630</v>
      </c>
      <c r="I516" s="11">
        <v>360</v>
      </c>
      <c r="J516" s="13">
        <v>420</v>
      </c>
      <c r="K516" t="str">
        <f t="shared" si="8"/>
        <v>DE355-SDR26</v>
      </c>
      <c r="L516" s="1">
        <f>VLOOKUP(K516,'[1]Tarif - Evolution Marché'!$F:$J,5,0)</f>
        <v>33.733372016460905</v>
      </c>
    </row>
    <row r="517" spans="1:12" x14ac:dyDescent="0.3">
      <c r="A517" s="14" t="s">
        <v>23</v>
      </c>
      <c r="B517" s="15">
        <v>400</v>
      </c>
      <c r="C517" s="15" t="s">
        <v>5</v>
      </c>
      <c r="D517" s="15">
        <v>6</v>
      </c>
      <c r="E517" s="21">
        <v>42.85</v>
      </c>
      <c r="F517" s="15" t="s">
        <v>13</v>
      </c>
      <c r="G517" s="15" t="s">
        <v>17</v>
      </c>
      <c r="H517" s="17">
        <v>46630</v>
      </c>
      <c r="I517" s="15">
        <v>360</v>
      </c>
      <c r="J517" s="18">
        <v>420</v>
      </c>
      <c r="K517" t="str">
        <f t="shared" si="8"/>
        <v>DE400-SDR26</v>
      </c>
      <c r="L517" s="1">
        <f>VLOOKUP(K517,'[1]Tarif - Evolution Marché'!$F:$J,5,0)</f>
        <v>42.850499588477369</v>
      </c>
    </row>
    <row r="518" spans="1:12" x14ac:dyDescent="0.3">
      <c r="A518" s="8" t="s">
        <v>23</v>
      </c>
      <c r="B518" s="11">
        <v>450</v>
      </c>
      <c r="C518" s="11" t="s">
        <v>5</v>
      </c>
      <c r="D518" s="11">
        <v>6</v>
      </c>
      <c r="E518" s="21">
        <v>54.02</v>
      </c>
      <c r="F518" s="11" t="s">
        <v>13</v>
      </c>
      <c r="G518" s="11" t="s">
        <v>17</v>
      </c>
      <c r="H518" s="12">
        <v>46630</v>
      </c>
      <c r="I518" s="11">
        <v>192</v>
      </c>
      <c r="J518" s="13">
        <v>224</v>
      </c>
      <c r="K518" t="str">
        <f t="shared" si="8"/>
        <v>DE450-SDR26</v>
      </c>
      <c r="L518" s="1">
        <f>VLOOKUP(K518,'[1]Tarif - Evolution Marché'!$F:$J,5,0)</f>
        <v>54.01898086419753</v>
      </c>
    </row>
    <row r="519" spans="1:12" x14ac:dyDescent="0.3">
      <c r="A519" s="14" t="s">
        <v>23</v>
      </c>
      <c r="B519" s="15">
        <v>500</v>
      </c>
      <c r="C519" s="15" t="s">
        <v>5</v>
      </c>
      <c r="D519" s="15">
        <v>6</v>
      </c>
      <c r="E519" s="21">
        <v>66.56</v>
      </c>
      <c r="F519" s="15" t="s">
        <v>13</v>
      </c>
      <c r="G519" s="15" t="s">
        <v>17</v>
      </c>
      <c r="H519" s="17">
        <v>46630</v>
      </c>
      <c r="I519" s="15">
        <v>192</v>
      </c>
      <c r="J519" s="18">
        <v>224</v>
      </c>
      <c r="K519" t="str">
        <f t="shared" si="8"/>
        <v>DE500-SDR26</v>
      </c>
      <c r="L519" s="1">
        <f>VLOOKUP(K519,'[1]Tarif - Evolution Marché'!$F:$J,5,0)</f>
        <v>66.555031275720168</v>
      </c>
    </row>
    <row r="520" spans="1:12" x14ac:dyDescent="0.3">
      <c r="A520" s="8" t="s">
        <v>23</v>
      </c>
      <c r="B520" s="11">
        <v>560</v>
      </c>
      <c r="C520" s="11" t="s">
        <v>5</v>
      </c>
      <c r="D520" s="11">
        <v>6</v>
      </c>
      <c r="E520" s="21">
        <v>83.42</v>
      </c>
      <c r="F520" s="11" t="s">
        <v>13</v>
      </c>
      <c r="G520" s="11" t="s">
        <v>17</v>
      </c>
      <c r="H520" s="12">
        <v>46630</v>
      </c>
      <c r="I520" s="11">
        <v>192</v>
      </c>
      <c r="J520" s="13">
        <v>224</v>
      </c>
      <c r="K520" t="str">
        <f t="shared" si="8"/>
        <v>DE560-SDR26</v>
      </c>
      <c r="L520" s="1">
        <f>VLOOKUP(K520,'[1]Tarif - Evolution Marché'!$F:$J,5,0)</f>
        <v>83.421717283950613</v>
      </c>
    </row>
    <row r="521" spans="1:12" x14ac:dyDescent="0.3">
      <c r="A521" s="14" t="s">
        <v>23</v>
      </c>
      <c r="B521" s="15">
        <v>630</v>
      </c>
      <c r="C521" s="15" t="s">
        <v>5</v>
      </c>
      <c r="D521" s="15">
        <v>6</v>
      </c>
      <c r="E521" s="21">
        <v>105.76</v>
      </c>
      <c r="F521" s="15" t="s">
        <v>13</v>
      </c>
      <c r="G521" s="15" t="s">
        <v>17</v>
      </c>
      <c r="H521" s="17">
        <v>46630</v>
      </c>
      <c r="I521" s="15">
        <v>108</v>
      </c>
      <c r="J521" s="18">
        <v>126</v>
      </c>
      <c r="K521" t="str">
        <f t="shared" si="8"/>
        <v>DE630-SDR26</v>
      </c>
      <c r="L521" s="1">
        <f>VLOOKUP(K521,'[1]Tarif - Evolution Marché'!$F:$J,5,0)</f>
        <v>105.75867983539094</v>
      </c>
    </row>
    <row r="522" spans="1:12" x14ac:dyDescent="0.3">
      <c r="A522" s="8" t="s">
        <v>23</v>
      </c>
      <c r="B522" s="11">
        <v>710</v>
      </c>
      <c r="C522" s="11" t="s">
        <v>5</v>
      </c>
      <c r="D522" s="11">
        <v>6</v>
      </c>
      <c r="E522" s="21">
        <v>134.47999999999999</v>
      </c>
      <c r="F522" s="11" t="s">
        <v>13</v>
      </c>
      <c r="G522" s="11" t="s">
        <v>17</v>
      </c>
      <c r="H522" s="12">
        <v>46630</v>
      </c>
      <c r="I522" s="11">
        <v>108</v>
      </c>
      <c r="J522" s="13">
        <v>126</v>
      </c>
      <c r="K522" t="str">
        <f t="shared" si="8"/>
        <v>DE710-SDR26</v>
      </c>
      <c r="L522" s="1">
        <f>VLOOKUP(K522,'[1]Tarif - Evolution Marché'!$F:$J,5,0)</f>
        <v>134.47763168724279</v>
      </c>
    </row>
    <row r="523" spans="1:12" x14ac:dyDescent="0.3">
      <c r="A523" s="14" t="s">
        <v>23</v>
      </c>
      <c r="B523" s="15">
        <v>800</v>
      </c>
      <c r="C523" s="15" t="s">
        <v>5</v>
      </c>
      <c r="D523" s="15">
        <v>6</v>
      </c>
      <c r="E523" s="21">
        <v>170.26</v>
      </c>
      <c r="F523" s="15" t="s">
        <v>13</v>
      </c>
      <c r="G523" s="15" t="s">
        <v>17</v>
      </c>
      <c r="H523" s="17">
        <v>46630</v>
      </c>
      <c r="I523" s="15">
        <v>108</v>
      </c>
      <c r="J523" s="18">
        <v>126</v>
      </c>
      <c r="K523" t="str">
        <f t="shared" si="8"/>
        <v>DE800-SDR26</v>
      </c>
      <c r="L523" s="1">
        <f>VLOOKUP(K523,'[1]Tarif - Evolution Marché'!$F:$J,5,0)</f>
        <v>170.26235740740742</v>
      </c>
    </row>
    <row r="524" spans="1:12" x14ac:dyDescent="0.3">
      <c r="A524" s="8" t="s">
        <v>23</v>
      </c>
      <c r="B524" s="11">
        <v>900</v>
      </c>
      <c r="C524" s="11" t="s">
        <v>5</v>
      </c>
      <c r="D524" s="11">
        <v>6</v>
      </c>
      <c r="E524" s="21">
        <v>215.16</v>
      </c>
      <c r="F524" s="11" t="s">
        <v>13</v>
      </c>
      <c r="G524" s="11" t="s">
        <v>17</v>
      </c>
      <c r="H524" s="12">
        <v>46630</v>
      </c>
      <c r="I524" s="11">
        <v>72</v>
      </c>
      <c r="J524" s="13">
        <v>84</v>
      </c>
      <c r="K524" t="str">
        <f t="shared" si="8"/>
        <v>DE900-SDR26</v>
      </c>
      <c r="L524" s="1">
        <f>VLOOKUP(K524,'[1]Tarif - Evolution Marché'!$F:$J,5,0)</f>
        <v>215.16421069958849</v>
      </c>
    </row>
    <row r="525" spans="1:12" x14ac:dyDescent="0.3">
      <c r="A525" s="14" t="s">
        <v>23</v>
      </c>
      <c r="B525" s="15">
        <v>1000</v>
      </c>
      <c r="C525" s="15" t="s">
        <v>5</v>
      </c>
      <c r="D525" s="15">
        <v>6</v>
      </c>
      <c r="E525" s="21">
        <v>266.68</v>
      </c>
      <c r="F525" s="15" t="s">
        <v>13</v>
      </c>
      <c r="G525" s="15" t="s">
        <v>17</v>
      </c>
      <c r="H525" s="17">
        <v>46630</v>
      </c>
      <c r="I525" s="15">
        <v>48</v>
      </c>
      <c r="J525" s="18">
        <v>56</v>
      </c>
      <c r="K525" t="str">
        <f t="shared" si="8"/>
        <v>DE1000-SDR26</v>
      </c>
      <c r="L525" s="1">
        <f>VLOOKUP(K525,'[1]Tarif - Evolution Marché'!$F:$J,5,0)</f>
        <v>266.67598148148147</v>
      </c>
    </row>
    <row r="526" spans="1:12" x14ac:dyDescent="0.3">
      <c r="A526" s="8" t="s">
        <v>23</v>
      </c>
      <c r="B526" s="11">
        <v>1200</v>
      </c>
      <c r="C526" s="11" t="s">
        <v>5</v>
      </c>
      <c r="D526" s="11">
        <v>6</v>
      </c>
      <c r="E526" s="21">
        <v>382.92</v>
      </c>
      <c r="F526" s="11" t="s">
        <v>13</v>
      </c>
      <c r="G526" s="11" t="s">
        <v>17</v>
      </c>
      <c r="H526" s="12">
        <v>46630</v>
      </c>
      <c r="I526" s="11">
        <v>36</v>
      </c>
      <c r="J526" s="13">
        <v>42</v>
      </c>
      <c r="K526" t="str">
        <f t="shared" si="8"/>
        <v>DE1200-SDR26</v>
      </c>
      <c r="L526" s="1">
        <f>VLOOKUP(K526,'[1]Tarif - Evolution Marché'!$F:$J,5,0)</f>
        <v>382.91935802469135</v>
      </c>
    </row>
    <row r="527" spans="1:12" x14ac:dyDescent="0.3">
      <c r="A527" s="14" t="s">
        <v>23</v>
      </c>
      <c r="B527" s="15">
        <v>40</v>
      </c>
      <c r="C527" s="15" t="s">
        <v>6</v>
      </c>
      <c r="D527" s="15">
        <v>8</v>
      </c>
      <c r="E527" s="21">
        <v>0.56999999999999995</v>
      </c>
      <c r="F527" s="15" t="s">
        <v>13</v>
      </c>
      <c r="G527" s="15" t="s">
        <v>17</v>
      </c>
      <c r="H527" s="17">
        <v>46630</v>
      </c>
      <c r="I527" s="17"/>
      <c r="J527" s="18"/>
      <c r="K527" t="str">
        <f t="shared" si="8"/>
        <v>DE40-SDR21</v>
      </c>
      <c r="L527" s="1">
        <f>VLOOKUP(K527,'[1]Tarif - Evolution Marché'!$F:$J,5,0)</f>
        <v>0.57209975514403288</v>
      </c>
    </row>
    <row r="528" spans="1:12" x14ac:dyDescent="0.3">
      <c r="A528" s="8" t="s">
        <v>23</v>
      </c>
      <c r="B528" s="11">
        <v>50</v>
      </c>
      <c r="C528" s="11" t="s">
        <v>6</v>
      </c>
      <c r="D528" s="11">
        <v>8</v>
      </c>
      <c r="E528" s="21">
        <v>0.86</v>
      </c>
      <c r="F528" s="11" t="s">
        <v>13</v>
      </c>
      <c r="G528" s="11" t="s">
        <v>17</v>
      </c>
      <c r="H528" s="12">
        <v>46630</v>
      </c>
      <c r="I528" s="12"/>
      <c r="J528" s="13"/>
      <c r="K528" t="str">
        <f t="shared" si="8"/>
        <v>DE50-SDR21</v>
      </c>
      <c r="L528" s="1">
        <f>VLOOKUP(K528,'[1]Tarif - Evolution Marché'!$F:$J,5,0)</f>
        <v>0.86156855555555556</v>
      </c>
    </row>
    <row r="529" spans="1:12" x14ac:dyDescent="0.3">
      <c r="A529" s="14" t="s">
        <v>23</v>
      </c>
      <c r="B529" s="15">
        <v>63</v>
      </c>
      <c r="C529" s="15" t="s">
        <v>6</v>
      </c>
      <c r="D529" s="15">
        <v>8</v>
      </c>
      <c r="E529" s="21">
        <v>1.34</v>
      </c>
      <c r="F529" s="15" t="s">
        <v>13</v>
      </c>
      <c r="G529" s="15" t="s">
        <v>17</v>
      </c>
      <c r="H529" s="17">
        <v>46630</v>
      </c>
      <c r="I529" s="17"/>
      <c r="J529" s="18"/>
      <c r="K529" t="str">
        <f t="shared" si="8"/>
        <v>DE63-SDR21</v>
      </c>
      <c r="L529" s="1">
        <f>VLOOKUP(K529,'[1]Tarif - Evolution Marché'!$F:$J,5,0)</f>
        <v>1.3356591893004115</v>
      </c>
    </row>
    <row r="530" spans="1:12" x14ac:dyDescent="0.3">
      <c r="A530" s="8" t="s">
        <v>23</v>
      </c>
      <c r="B530" s="11">
        <v>75</v>
      </c>
      <c r="C530" s="11" t="s">
        <v>6</v>
      </c>
      <c r="D530" s="11">
        <v>8</v>
      </c>
      <c r="E530" s="21">
        <v>1.91</v>
      </c>
      <c r="F530" s="11" t="s">
        <v>13</v>
      </c>
      <c r="G530" s="11" t="s">
        <v>17</v>
      </c>
      <c r="H530" s="12">
        <v>46630</v>
      </c>
      <c r="I530" s="12"/>
      <c r="J530" s="13"/>
      <c r="K530" t="str">
        <f t="shared" si="8"/>
        <v>DE75-SDR21</v>
      </c>
      <c r="L530" s="1">
        <f>VLOOKUP(K530,'[1]Tarif - Evolution Marché'!$F:$J,5,0)</f>
        <v>1.9054796625514403</v>
      </c>
    </row>
    <row r="531" spans="1:12" x14ac:dyDescent="0.3">
      <c r="A531" s="14" t="s">
        <v>23</v>
      </c>
      <c r="B531" s="15">
        <v>90</v>
      </c>
      <c r="C531" s="15" t="s">
        <v>6</v>
      </c>
      <c r="D531" s="15">
        <v>8</v>
      </c>
      <c r="E531" s="21">
        <v>2.74</v>
      </c>
      <c r="F531" s="15" t="s">
        <v>13</v>
      </c>
      <c r="G531" s="15" t="s">
        <v>17</v>
      </c>
      <c r="H531" s="17">
        <v>46630</v>
      </c>
      <c r="I531" s="17"/>
      <c r="J531" s="18"/>
      <c r="K531" t="str">
        <f t="shared" si="8"/>
        <v>DE90-SDR21</v>
      </c>
      <c r="L531" s="1">
        <f>VLOOKUP(K531,'[1]Tarif - Evolution Marché'!$F:$J,5,0)</f>
        <v>2.7351382716049382</v>
      </c>
    </row>
    <row r="532" spans="1:12" x14ac:dyDescent="0.3">
      <c r="A532" s="8" t="s">
        <v>23</v>
      </c>
      <c r="B532" s="11">
        <v>110</v>
      </c>
      <c r="C532" s="11" t="s">
        <v>6</v>
      </c>
      <c r="D532" s="11">
        <v>8</v>
      </c>
      <c r="E532" s="21">
        <v>4.08</v>
      </c>
      <c r="F532" s="11" t="s">
        <v>13</v>
      </c>
      <c r="G532" s="11" t="s">
        <v>17</v>
      </c>
      <c r="H532" s="12">
        <v>46630</v>
      </c>
      <c r="I532" s="12"/>
      <c r="J532" s="13"/>
      <c r="K532" t="str">
        <f t="shared" si="8"/>
        <v>DE110-SDR21</v>
      </c>
      <c r="L532" s="1">
        <f>VLOOKUP(K532,'[1]Tarif - Evolution Marché'!$F:$J,5,0)</f>
        <v>4.079914588477366</v>
      </c>
    </row>
    <row r="533" spans="1:12" x14ac:dyDescent="0.3">
      <c r="A533" s="14" t="s">
        <v>23</v>
      </c>
      <c r="B533" s="15">
        <v>125</v>
      </c>
      <c r="C533" s="15" t="s">
        <v>6</v>
      </c>
      <c r="D533" s="15">
        <v>8</v>
      </c>
      <c r="E533" s="21">
        <v>5.22</v>
      </c>
      <c r="F533" s="15" t="s">
        <v>13</v>
      </c>
      <c r="G533" s="15" t="s">
        <v>17</v>
      </c>
      <c r="H533" s="17">
        <v>46630</v>
      </c>
      <c r="I533" s="15">
        <v>2400</v>
      </c>
      <c r="J533" s="18">
        <v>2800</v>
      </c>
      <c r="K533" t="str">
        <f t="shared" si="8"/>
        <v>DE125-SDR21</v>
      </c>
      <c r="L533" s="1">
        <f>VLOOKUP(K533,'[1]Tarif - Evolution Marché'!$F:$J,5,0)</f>
        <v>5.219555534979424</v>
      </c>
    </row>
    <row r="534" spans="1:12" x14ac:dyDescent="0.3">
      <c r="A534" s="8" t="s">
        <v>23</v>
      </c>
      <c r="B534" s="11">
        <v>140</v>
      </c>
      <c r="C534" s="11" t="s">
        <v>6</v>
      </c>
      <c r="D534" s="11">
        <v>8</v>
      </c>
      <c r="E534" s="21">
        <v>6.52</v>
      </c>
      <c r="F534" s="11" t="s">
        <v>13</v>
      </c>
      <c r="G534" s="11" t="s">
        <v>17</v>
      </c>
      <c r="H534" s="12">
        <v>46630</v>
      </c>
      <c r="I534" s="11">
        <v>1920</v>
      </c>
      <c r="J534" s="13">
        <v>2240</v>
      </c>
      <c r="K534" t="str">
        <f t="shared" si="8"/>
        <v>DE140-SDR21</v>
      </c>
      <c r="L534" s="1">
        <f>VLOOKUP(K534,'[1]Tarif - Evolution Marché'!$F:$J,5,0)</f>
        <v>6.5187462139917693</v>
      </c>
    </row>
    <row r="535" spans="1:12" x14ac:dyDescent="0.3">
      <c r="A535" s="14" t="s">
        <v>23</v>
      </c>
      <c r="B535" s="15">
        <v>160</v>
      </c>
      <c r="C535" s="15" t="s">
        <v>6</v>
      </c>
      <c r="D535" s="15">
        <v>8</v>
      </c>
      <c r="E535" s="21">
        <v>8.5500000000000007</v>
      </c>
      <c r="F535" s="15" t="s">
        <v>13</v>
      </c>
      <c r="G535" s="15" t="s">
        <v>17</v>
      </c>
      <c r="H535" s="17">
        <v>46630</v>
      </c>
      <c r="I535" s="15">
        <v>1920</v>
      </c>
      <c r="J535" s="18">
        <v>2240</v>
      </c>
      <c r="K535" t="str">
        <f t="shared" si="8"/>
        <v>DE160-SDR21</v>
      </c>
      <c r="L535" s="1">
        <f>VLOOKUP(K535,'[1]Tarif - Evolution Marché'!$F:$J,5,0)</f>
        <v>8.5473070987654314</v>
      </c>
    </row>
    <row r="536" spans="1:12" x14ac:dyDescent="0.3">
      <c r="A536" s="8" t="s">
        <v>23</v>
      </c>
      <c r="B536" s="11">
        <v>180</v>
      </c>
      <c r="C536" s="11" t="s">
        <v>6</v>
      </c>
      <c r="D536" s="11">
        <v>8</v>
      </c>
      <c r="E536" s="21">
        <v>10.74</v>
      </c>
      <c r="F536" s="11" t="s">
        <v>13</v>
      </c>
      <c r="G536" s="11" t="s">
        <v>17</v>
      </c>
      <c r="H536" s="12">
        <v>46630</v>
      </c>
      <c r="I536" s="11">
        <v>1200</v>
      </c>
      <c r="J536" s="13">
        <v>1400</v>
      </c>
      <c r="K536" t="str">
        <f t="shared" si="8"/>
        <v>DE180-SDR21</v>
      </c>
      <c r="L536" s="1">
        <f>VLOOKUP(K536,'[1]Tarif - Evolution Marché'!$F:$J,5,0)</f>
        <v>10.735417716049383</v>
      </c>
    </row>
    <row r="537" spans="1:12" x14ac:dyDescent="0.3">
      <c r="A537" s="14" t="s">
        <v>23</v>
      </c>
      <c r="B537" s="15">
        <v>200</v>
      </c>
      <c r="C537" s="15" t="s">
        <v>6</v>
      </c>
      <c r="D537" s="15">
        <v>8</v>
      </c>
      <c r="E537" s="21">
        <v>13.31</v>
      </c>
      <c r="F537" s="15" t="s">
        <v>13</v>
      </c>
      <c r="G537" s="15" t="s">
        <v>17</v>
      </c>
      <c r="H537" s="17">
        <v>46630</v>
      </c>
      <c r="I537" s="15">
        <v>960</v>
      </c>
      <c r="J537" s="18">
        <v>1120</v>
      </c>
      <c r="K537" t="str">
        <f t="shared" si="8"/>
        <v>DE200-SDR21</v>
      </c>
      <c r="L537" s="1">
        <f>VLOOKUP(K537,'[1]Tarif - Evolution Marché'!$F:$J,5,0)</f>
        <v>13.311006255144033</v>
      </c>
    </row>
    <row r="538" spans="1:12" x14ac:dyDescent="0.3">
      <c r="A538" s="8" t="s">
        <v>23</v>
      </c>
      <c r="B538" s="11">
        <v>225</v>
      </c>
      <c r="C538" s="11" t="s">
        <v>6</v>
      </c>
      <c r="D538" s="11">
        <v>8</v>
      </c>
      <c r="E538" s="21">
        <v>16.8</v>
      </c>
      <c r="F538" s="11" t="s">
        <v>13</v>
      </c>
      <c r="G538" s="11" t="s">
        <v>17</v>
      </c>
      <c r="H538" s="12">
        <v>46630</v>
      </c>
      <c r="I538" s="11">
        <v>960</v>
      </c>
      <c r="J538" s="13">
        <v>1120</v>
      </c>
      <c r="K538" t="str">
        <f t="shared" si="8"/>
        <v>DE225-SDR21</v>
      </c>
      <c r="L538" s="1">
        <f>VLOOKUP(K538,'[1]Tarif - Evolution Marché'!$F:$J,5,0)</f>
        <v>16.798307551440331</v>
      </c>
    </row>
    <row r="539" spans="1:12" x14ac:dyDescent="0.3">
      <c r="A539" s="14" t="s">
        <v>23</v>
      </c>
      <c r="B539" s="15">
        <v>250</v>
      </c>
      <c r="C539" s="15" t="s">
        <v>6</v>
      </c>
      <c r="D539" s="15">
        <v>8</v>
      </c>
      <c r="E539" s="21">
        <v>20.56</v>
      </c>
      <c r="F539" s="15" t="s">
        <v>13</v>
      </c>
      <c r="G539" s="15" t="s">
        <v>17</v>
      </c>
      <c r="H539" s="17">
        <v>46630</v>
      </c>
      <c r="I539" s="15">
        <v>672</v>
      </c>
      <c r="J539" s="18">
        <v>784</v>
      </c>
      <c r="K539" t="str">
        <f t="shared" si="8"/>
        <v>DE250-SDR21</v>
      </c>
      <c r="L539" s="1">
        <f>VLOOKUP(K539,'[1]Tarif - Evolution Marché'!$F:$J,5,0)</f>
        <v>20.559122674897118</v>
      </c>
    </row>
    <row r="540" spans="1:12" x14ac:dyDescent="0.3">
      <c r="A540" s="8" t="s">
        <v>23</v>
      </c>
      <c r="B540" s="11">
        <v>280</v>
      </c>
      <c r="C540" s="11" t="s">
        <v>6</v>
      </c>
      <c r="D540" s="11">
        <v>8</v>
      </c>
      <c r="E540" s="21">
        <v>25.98</v>
      </c>
      <c r="F540" s="11" t="s">
        <v>13</v>
      </c>
      <c r="G540" s="11" t="s">
        <v>17</v>
      </c>
      <c r="H540" s="12">
        <v>46630</v>
      </c>
      <c r="I540" s="11">
        <v>672</v>
      </c>
      <c r="J540" s="13">
        <v>784</v>
      </c>
      <c r="K540" t="str">
        <f t="shared" si="8"/>
        <v>DE280-SDR21</v>
      </c>
      <c r="L540" s="1">
        <f>VLOOKUP(K540,'[1]Tarif - Evolution Marché'!$F:$J,5,0)</f>
        <v>25.983813580246913</v>
      </c>
    </row>
    <row r="541" spans="1:12" x14ac:dyDescent="0.3">
      <c r="A541" s="14" t="s">
        <v>23</v>
      </c>
      <c r="B541" s="15">
        <v>315</v>
      </c>
      <c r="C541" s="15" t="s">
        <v>6</v>
      </c>
      <c r="D541" s="15">
        <v>8</v>
      </c>
      <c r="E541" s="21">
        <v>32.590000000000003</v>
      </c>
      <c r="F541" s="15" t="s">
        <v>13</v>
      </c>
      <c r="G541" s="15" t="s">
        <v>17</v>
      </c>
      <c r="H541" s="17">
        <v>46630</v>
      </c>
      <c r="I541" s="15">
        <v>432</v>
      </c>
      <c r="J541" s="18">
        <v>504</v>
      </c>
      <c r="K541" t="str">
        <f t="shared" si="8"/>
        <v>DE315-SDR21</v>
      </c>
      <c r="L541" s="1">
        <f>VLOOKUP(K541,'[1]Tarif - Evolution Marché'!$F:$J,5,0)</f>
        <v>32.593731069958849</v>
      </c>
    </row>
    <row r="542" spans="1:12" x14ac:dyDescent="0.3">
      <c r="A542" s="8" t="s">
        <v>23</v>
      </c>
      <c r="B542" s="11">
        <v>355</v>
      </c>
      <c r="C542" s="11" t="s">
        <v>6</v>
      </c>
      <c r="D542" s="11">
        <v>8</v>
      </c>
      <c r="E542" s="21">
        <v>41.48</v>
      </c>
      <c r="F542" s="11" t="s">
        <v>13</v>
      </c>
      <c r="G542" s="11" t="s">
        <v>17</v>
      </c>
      <c r="H542" s="12">
        <v>46630</v>
      </c>
      <c r="I542" s="11">
        <v>360</v>
      </c>
      <c r="J542" s="13">
        <v>420</v>
      </c>
      <c r="K542" t="str">
        <f t="shared" si="8"/>
        <v>DE355-SDR21</v>
      </c>
      <c r="L542" s="1">
        <f>VLOOKUP(K542,'[1]Tarif - Evolution Marché'!$F:$J,5,0)</f>
        <v>41.482930452674893</v>
      </c>
    </row>
    <row r="543" spans="1:12" x14ac:dyDescent="0.3">
      <c r="A543" s="14" t="s">
        <v>23</v>
      </c>
      <c r="B543" s="15">
        <v>400</v>
      </c>
      <c r="C543" s="15" t="s">
        <v>6</v>
      </c>
      <c r="D543" s="15">
        <v>8</v>
      </c>
      <c r="E543" s="21">
        <v>52.65</v>
      </c>
      <c r="F543" s="15" t="s">
        <v>13</v>
      </c>
      <c r="G543" s="15" t="s">
        <v>17</v>
      </c>
      <c r="H543" s="17">
        <v>46630</v>
      </c>
      <c r="I543" s="15">
        <v>360</v>
      </c>
      <c r="J543" s="18">
        <v>420</v>
      </c>
      <c r="K543" t="str">
        <f t="shared" si="8"/>
        <v>DE400-SDR21</v>
      </c>
      <c r="L543" s="1">
        <f>VLOOKUP(K543,'[1]Tarif - Evolution Marché'!$F:$J,5,0)</f>
        <v>52.651411728395061</v>
      </c>
    </row>
    <row r="544" spans="1:12" x14ac:dyDescent="0.3">
      <c r="A544" s="8" t="s">
        <v>23</v>
      </c>
      <c r="B544" s="11">
        <v>450</v>
      </c>
      <c r="C544" s="11" t="s">
        <v>6</v>
      </c>
      <c r="D544" s="11">
        <v>8</v>
      </c>
      <c r="E544" s="21">
        <v>66.78</v>
      </c>
      <c r="F544" s="11" t="s">
        <v>13</v>
      </c>
      <c r="G544" s="11" t="s">
        <v>17</v>
      </c>
      <c r="H544" s="12">
        <v>46630</v>
      </c>
      <c r="I544" s="11">
        <v>192</v>
      </c>
      <c r="J544" s="13">
        <v>224</v>
      </c>
      <c r="K544" t="str">
        <f t="shared" si="8"/>
        <v>DE450-SDR21</v>
      </c>
      <c r="L544" s="1">
        <f>VLOOKUP(K544,'[1]Tarif - Evolution Marché'!$F:$J,5,0)</f>
        <v>66.782959465020582</v>
      </c>
    </row>
    <row r="545" spans="1:12" x14ac:dyDescent="0.3">
      <c r="A545" s="14" t="s">
        <v>23</v>
      </c>
      <c r="B545" s="15">
        <v>500</v>
      </c>
      <c r="C545" s="15" t="s">
        <v>6</v>
      </c>
      <c r="D545" s="15">
        <v>8</v>
      </c>
      <c r="E545" s="21">
        <v>82.28</v>
      </c>
      <c r="F545" s="15" t="s">
        <v>13</v>
      </c>
      <c r="G545" s="15" t="s">
        <v>17</v>
      </c>
      <c r="H545" s="17">
        <v>46630</v>
      </c>
      <c r="I545" s="15">
        <v>192</v>
      </c>
      <c r="J545" s="18">
        <v>224</v>
      </c>
      <c r="K545" t="str">
        <f t="shared" si="8"/>
        <v>DE500-SDR21</v>
      </c>
      <c r="L545" s="1">
        <f>VLOOKUP(K545,'[1]Tarif - Evolution Marché'!$F:$J,5,0)</f>
        <v>82.282076337448558</v>
      </c>
    </row>
    <row r="546" spans="1:12" x14ac:dyDescent="0.3">
      <c r="A546" s="8" t="s">
        <v>23</v>
      </c>
      <c r="B546" s="11">
        <v>560</v>
      </c>
      <c r="C546" s="11" t="s">
        <v>6</v>
      </c>
      <c r="D546" s="11">
        <v>8</v>
      </c>
      <c r="E546" s="21">
        <v>103.02</v>
      </c>
      <c r="F546" s="11" t="s">
        <v>13</v>
      </c>
      <c r="G546" s="11" t="s">
        <v>17</v>
      </c>
      <c r="H546" s="12">
        <v>46630</v>
      </c>
      <c r="I546" s="11">
        <v>192</v>
      </c>
      <c r="J546" s="13">
        <v>224</v>
      </c>
      <c r="K546" t="str">
        <f t="shared" si="8"/>
        <v>DE560-SDR21</v>
      </c>
      <c r="L546" s="1">
        <f>VLOOKUP(K546,'[1]Tarif - Evolution Marché'!$F:$J,5,0)</f>
        <v>103.02354156378601</v>
      </c>
    </row>
    <row r="547" spans="1:12" x14ac:dyDescent="0.3">
      <c r="A547" s="14" t="s">
        <v>23</v>
      </c>
      <c r="B547" s="15">
        <v>630</v>
      </c>
      <c r="C547" s="15" t="s">
        <v>6</v>
      </c>
      <c r="D547" s="15">
        <v>8</v>
      </c>
      <c r="E547" s="21">
        <v>129.91999999999999</v>
      </c>
      <c r="F547" s="15" t="s">
        <v>13</v>
      </c>
      <c r="G547" s="15" t="s">
        <v>17</v>
      </c>
      <c r="H547" s="17">
        <v>46630</v>
      </c>
      <c r="I547" s="15">
        <v>108</v>
      </c>
      <c r="J547" s="18">
        <v>126</v>
      </c>
      <c r="K547" t="str">
        <f t="shared" si="8"/>
        <v>DE630-SDR21</v>
      </c>
      <c r="L547" s="1">
        <f>VLOOKUP(K547,'[1]Tarif - Evolution Marché'!$F:$J,5,0)</f>
        <v>129.91906790123457</v>
      </c>
    </row>
    <row r="548" spans="1:12" x14ac:dyDescent="0.3">
      <c r="A548" s="8" t="s">
        <v>23</v>
      </c>
      <c r="B548" s="11">
        <v>710</v>
      </c>
      <c r="C548" s="11" t="s">
        <v>6</v>
      </c>
      <c r="D548" s="11">
        <v>8</v>
      </c>
      <c r="E548" s="21">
        <v>165.48</v>
      </c>
      <c r="F548" s="11" t="s">
        <v>13</v>
      </c>
      <c r="G548" s="11" t="s">
        <v>17</v>
      </c>
      <c r="H548" s="12">
        <v>46630</v>
      </c>
      <c r="I548" s="11">
        <v>108</v>
      </c>
      <c r="J548" s="13">
        <v>126</v>
      </c>
      <c r="K548" t="str">
        <f t="shared" si="8"/>
        <v>DE710-SDR21</v>
      </c>
      <c r="L548" s="1">
        <f>VLOOKUP(K548,'[1]Tarif - Evolution Marché'!$F:$J,5,0)</f>
        <v>165.47586543209874</v>
      </c>
    </row>
    <row r="549" spans="1:12" x14ac:dyDescent="0.3">
      <c r="A549" s="14" t="s">
        <v>23</v>
      </c>
      <c r="B549" s="15">
        <v>800</v>
      </c>
      <c r="C549" s="15" t="s">
        <v>6</v>
      </c>
      <c r="D549" s="15">
        <v>8</v>
      </c>
      <c r="E549" s="21">
        <v>209.69</v>
      </c>
      <c r="F549" s="15" t="s">
        <v>13</v>
      </c>
      <c r="G549" s="15" t="s">
        <v>17</v>
      </c>
      <c r="H549" s="17">
        <v>46630</v>
      </c>
      <c r="I549" s="15">
        <v>108</v>
      </c>
      <c r="J549" s="18">
        <v>126</v>
      </c>
      <c r="K549" t="str">
        <f t="shared" si="8"/>
        <v>DE800-SDR21</v>
      </c>
      <c r="L549" s="1">
        <f>VLOOKUP(K549,'[1]Tarif - Evolution Marché'!$F:$J,5,0)</f>
        <v>209.69393415637859</v>
      </c>
    </row>
    <row r="550" spans="1:12" x14ac:dyDescent="0.3">
      <c r="A550" s="8" t="s">
        <v>23</v>
      </c>
      <c r="B550" s="11">
        <v>900</v>
      </c>
      <c r="C550" s="11" t="s">
        <v>6</v>
      </c>
      <c r="D550" s="11">
        <v>8</v>
      </c>
      <c r="E550" s="21">
        <v>264.39999999999998</v>
      </c>
      <c r="F550" s="11" t="s">
        <v>13</v>
      </c>
      <c r="G550" s="11" t="s">
        <v>17</v>
      </c>
      <c r="H550" s="12">
        <v>46630</v>
      </c>
      <c r="I550" s="11">
        <v>72</v>
      </c>
      <c r="J550" s="13">
        <v>84</v>
      </c>
      <c r="K550" t="str">
        <f t="shared" si="8"/>
        <v>DE900-SDR21</v>
      </c>
      <c r="L550" s="1">
        <f>VLOOKUP(K550,'[1]Tarif - Evolution Marché'!$F:$J,5,0)</f>
        <v>264.39669958847736</v>
      </c>
    </row>
    <row r="551" spans="1:12" x14ac:dyDescent="0.3">
      <c r="A551" s="14" t="s">
        <v>23</v>
      </c>
      <c r="B551" s="15">
        <v>1000</v>
      </c>
      <c r="C551" s="15" t="s">
        <v>6</v>
      </c>
      <c r="D551" s="15">
        <v>8</v>
      </c>
      <c r="E551" s="21">
        <v>328.22</v>
      </c>
      <c r="F551" s="15" t="s">
        <v>13</v>
      </c>
      <c r="G551" s="15" t="s">
        <v>17</v>
      </c>
      <c r="H551" s="17">
        <v>46630</v>
      </c>
      <c r="I551" s="15">
        <v>48</v>
      </c>
      <c r="J551" s="18">
        <v>56</v>
      </c>
      <c r="K551" t="str">
        <f t="shared" si="8"/>
        <v>DE1000-SDR21</v>
      </c>
      <c r="L551" s="1">
        <f>VLOOKUP(K551,'[1]Tarif - Evolution Marché'!$F:$J,5,0)</f>
        <v>328.21659259259258</v>
      </c>
    </row>
    <row r="552" spans="1:12" x14ac:dyDescent="0.3">
      <c r="A552" s="8" t="s">
        <v>23</v>
      </c>
      <c r="B552" s="11">
        <v>1200</v>
      </c>
      <c r="C552" s="11" t="s">
        <v>6</v>
      </c>
      <c r="D552" s="11">
        <v>8</v>
      </c>
      <c r="E552" s="21">
        <v>471.81</v>
      </c>
      <c r="F552" s="11" t="s">
        <v>13</v>
      </c>
      <c r="G552" s="11" t="s">
        <v>17</v>
      </c>
      <c r="H552" s="12">
        <v>46630</v>
      </c>
      <c r="I552" s="11">
        <v>36</v>
      </c>
      <c r="J552" s="13">
        <v>42</v>
      </c>
      <c r="K552" t="str">
        <f t="shared" si="8"/>
        <v>DE1200-SDR21</v>
      </c>
      <c r="L552" s="1">
        <f>VLOOKUP(K552,'[1]Tarif - Evolution Marché'!$F:$J,5,0)</f>
        <v>471.81135185185184</v>
      </c>
    </row>
    <row r="553" spans="1:12" x14ac:dyDescent="0.3">
      <c r="A553" s="14" t="s">
        <v>23</v>
      </c>
      <c r="B553" s="15">
        <v>32</v>
      </c>
      <c r="C553" s="15" t="s">
        <v>7</v>
      </c>
      <c r="D553" s="15">
        <v>10</v>
      </c>
      <c r="E553" s="21">
        <v>0.45</v>
      </c>
      <c r="F553" s="15" t="s">
        <v>13</v>
      </c>
      <c r="G553" s="15" t="s">
        <v>17</v>
      </c>
      <c r="H553" s="17">
        <v>46630</v>
      </c>
      <c r="I553" s="17"/>
      <c r="J553" s="18"/>
      <c r="K553" t="str">
        <f t="shared" si="8"/>
        <v>DE32-SDR17</v>
      </c>
      <c r="L553" s="1">
        <f>VLOOKUP(K553,'[1]Tarif - Evolution Marché'!$F:$J,5,0)</f>
        <v>0.45129781481481485</v>
      </c>
    </row>
    <row r="554" spans="1:12" x14ac:dyDescent="0.3">
      <c r="A554" s="8" t="s">
        <v>23</v>
      </c>
      <c r="B554" s="11">
        <v>40</v>
      </c>
      <c r="C554" s="11" t="s">
        <v>7</v>
      </c>
      <c r="D554" s="11">
        <v>10</v>
      </c>
      <c r="E554" s="21">
        <v>0.68</v>
      </c>
      <c r="F554" s="11" t="s">
        <v>13</v>
      </c>
      <c r="G554" s="11" t="s">
        <v>17</v>
      </c>
      <c r="H554" s="12">
        <v>46630</v>
      </c>
      <c r="I554" s="12"/>
      <c r="J554" s="13"/>
      <c r="K554" t="str">
        <f t="shared" si="8"/>
        <v>DE40-SDR17</v>
      </c>
      <c r="L554" s="1">
        <f>VLOOKUP(K554,'[1]Tarif - Evolution Marché'!$F:$J,5,0)</f>
        <v>0.68150528600823046</v>
      </c>
    </row>
    <row r="555" spans="1:12" x14ac:dyDescent="0.3">
      <c r="A555" s="14" t="s">
        <v>23</v>
      </c>
      <c r="B555" s="15">
        <v>50</v>
      </c>
      <c r="C555" s="15" t="s">
        <v>7</v>
      </c>
      <c r="D555" s="15">
        <v>10</v>
      </c>
      <c r="E555" s="21">
        <v>1.04</v>
      </c>
      <c r="F555" s="15" t="s">
        <v>13</v>
      </c>
      <c r="G555" s="15" t="s">
        <v>17</v>
      </c>
      <c r="H555" s="17">
        <v>46630</v>
      </c>
      <c r="I555" s="17"/>
      <c r="J555" s="18"/>
      <c r="K555" t="str">
        <f t="shared" si="8"/>
        <v>DE50-SDR17</v>
      </c>
      <c r="L555" s="1">
        <f>VLOOKUP(K555,'[1]Tarif - Evolution Marché'!$F:$J,5,0)</f>
        <v>1.0439111069958849</v>
      </c>
    </row>
    <row r="556" spans="1:12" x14ac:dyDescent="0.3">
      <c r="A556" s="8" t="s">
        <v>23</v>
      </c>
      <c r="B556" s="11">
        <v>63</v>
      </c>
      <c r="C556" s="11" t="s">
        <v>7</v>
      </c>
      <c r="D556" s="11">
        <v>10</v>
      </c>
      <c r="E556" s="21">
        <v>1.66</v>
      </c>
      <c r="F556" s="11" t="s">
        <v>13</v>
      </c>
      <c r="G556" s="11" t="s">
        <v>17</v>
      </c>
      <c r="H556" s="12">
        <v>46630</v>
      </c>
      <c r="I556" s="12"/>
      <c r="J556" s="13"/>
      <c r="K556" t="str">
        <f t="shared" si="8"/>
        <v>DE63-SDR17</v>
      </c>
      <c r="L556" s="1">
        <f>VLOOKUP(K556,'[1]Tarif - Evolution Marché'!$F:$J,5,0)</f>
        <v>1.6593172181069957</v>
      </c>
    </row>
    <row r="557" spans="1:12" x14ac:dyDescent="0.3">
      <c r="A557" s="14" t="s">
        <v>23</v>
      </c>
      <c r="B557" s="15">
        <v>75</v>
      </c>
      <c r="C557" s="15" t="s">
        <v>7</v>
      </c>
      <c r="D557" s="15">
        <v>10</v>
      </c>
      <c r="E557" s="21">
        <v>2.35</v>
      </c>
      <c r="F557" s="15" t="s">
        <v>13</v>
      </c>
      <c r="G557" s="15" t="s">
        <v>17</v>
      </c>
      <c r="H557" s="17">
        <v>46630</v>
      </c>
      <c r="I557" s="17"/>
      <c r="J557" s="18"/>
      <c r="K557" t="str">
        <f t="shared" si="8"/>
        <v>DE75-SDR17</v>
      </c>
      <c r="L557" s="1">
        <f>VLOOKUP(K557,'[1]Tarif - Evolution Marché'!$F:$J,5,0)</f>
        <v>2.3476603497942388</v>
      </c>
    </row>
    <row r="558" spans="1:12" x14ac:dyDescent="0.3">
      <c r="A558" s="8" t="s">
        <v>23</v>
      </c>
      <c r="B558" s="11">
        <v>90</v>
      </c>
      <c r="C558" s="11" t="s">
        <v>7</v>
      </c>
      <c r="D558" s="11">
        <v>10</v>
      </c>
      <c r="E558" s="21">
        <v>3.35</v>
      </c>
      <c r="F558" s="11" t="s">
        <v>13</v>
      </c>
      <c r="G558" s="11" t="s">
        <v>17</v>
      </c>
      <c r="H558" s="12">
        <v>46630</v>
      </c>
      <c r="I558" s="12"/>
      <c r="J558" s="13"/>
      <c r="K558" t="str">
        <f t="shared" si="8"/>
        <v>DE90-SDR17</v>
      </c>
      <c r="L558" s="1">
        <f>VLOOKUP(K558,'[1]Tarif - Evolution Marché'!$F:$J,5,0)</f>
        <v>3.3505443827160493</v>
      </c>
    </row>
    <row r="559" spans="1:12" x14ac:dyDescent="0.3">
      <c r="A559" s="14" t="s">
        <v>23</v>
      </c>
      <c r="B559" s="15">
        <v>110</v>
      </c>
      <c r="C559" s="15" t="s">
        <v>7</v>
      </c>
      <c r="D559" s="15">
        <v>10</v>
      </c>
      <c r="E559" s="21">
        <v>4.99</v>
      </c>
      <c r="F559" s="15" t="s">
        <v>13</v>
      </c>
      <c r="G559" s="15" t="s">
        <v>17</v>
      </c>
      <c r="H559" s="17">
        <v>46630</v>
      </c>
      <c r="I559" s="17"/>
      <c r="J559" s="18"/>
      <c r="K559" t="str">
        <f t="shared" si="8"/>
        <v>DE110-SDR17</v>
      </c>
      <c r="L559" s="1">
        <f>VLOOKUP(K559,'[1]Tarif - Evolution Marché'!$F:$J,5,0)</f>
        <v>4.9916273456790119</v>
      </c>
    </row>
    <row r="560" spans="1:12" x14ac:dyDescent="0.3">
      <c r="A560" s="8" t="s">
        <v>23</v>
      </c>
      <c r="B560" s="11">
        <v>125</v>
      </c>
      <c r="C560" s="11" t="s">
        <v>7</v>
      </c>
      <c r="D560" s="11">
        <v>10</v>
      </c>
      <c r="E560" s="21">
        <v>6.36</v>
      </c>
      <c r="F560" s="11" t="s">
        <v>13</v>
      </c>
      <c r="G560" s="11" t="s">
        <v>17</v>
      </c>
      <c r="H560" s="12">
        <v>46630</v>
      </c>
      <c r="I560" s="11">
        <v>2400</v>
      </c>
      <c r="J560" s="13">
        <v>2800</v>
      </c>
      <c r="K560" t="str">
        <f t="shared" si="8"/>
        <v>DE125-SDR17</v>
      </c>
      <c r="L560" s="1">
        <f>VLOOKUP(K560,'[1]Tarif - Evolution Marché'!$F:$J,5,0)</f>
        <v>6.3591964814814812</v>
      </c>
    </row>
    <row r="561" spans="1:12" x14ac:dyDescent="0.3">
      <c r="A561" s="14" t="s">
        <v>23</v>
      </c>
      <c r="B561" s="15">
        <v>140</v>
      </c>
      <c r="C561" s="15" t="s">
        <v>7</v>
      </c>
      <c r="D561" s="15">
        <v>10</v>
      </c>
      <c r="E561" s="21">
        <v>7.98</v>
      </c>
      <c r="F561" s="15" t="s">
        <v>13</v>
      </c>
      <c r="G561" s="15" t="s">
        <v>17</v>
      </c>
      <c r="H561" s="17">
        <v>46630</v>
      </c>
      <c r="I561" s="15">
        <v>1920</v>
      </c>
      <c r="J561" s="18">
        <v>2240</v>
      </c>
      <c r="K561" t="str">
        <f t="shared" si="8"/>
        <v>DE140-SDR17</v>
      </c>
      <c r="L561" s="1">
        <f>VLOOKUP(K561,'[1]Tarif - Evolution Marché'!$F:$J,5,0)</f>
        <v>7.9774866255144037</v>
      </c>
    </row>
    <row r="562" spans="1:12" x14ac:dyDescent="0.3">
      <c r="A562" s="8" t="s">
        <v>23</v>
      </c>
      <c r="B562" s="11">
        <v>160</v>
      </c>
      <c r="C562" s="11" t="s">
        <v>7</v>
      </c>
      <c r="D562" s="11">
        <v>10</v>
      </c>
      <c r="E562" s="21">
        <v>10.42</v>
      </c>
      <c r="F562" s="11" t="s">
        <v>13</v>
      </c>
      <c r="G562" s="11" t="s">
        <v>17</v>
      </c>
      <c r="H562" s="12">
        <v>46630</v>
      </c>
      <c r="I562" s="11">
        <v>1920</v>
      </c>
      <c r="J562" s="13">
        <v>2240</v>
      </c>
      <c r="K562" t="str">
        <f t="shared" si="8"/>
        <v>DE160-SDR17</v>
      </c>
      <c r="L562" s="1">
        <f>VLOOKUP(K562,'[1]Tarif - Evolution Marché'!$F:$J,5,0)</f>
        <v>10.416318251028807</v>
      </c>
    </row>
    <row r="563" spans="1:12" x14ac:dyDescent="0.3">
      <c r="A563" s="14" t="s">
        <v>23</v>
      </c>
      <c r="B563" s="15">
        <v>180</v>
      </c>
      <c r="C563" s="15" t="s">
        <v>7</v>
      </c>
      <c r="D563" s="15">
        <v>10</v>
      </c>
      <c r="E563" s="21">
        <v>13.15</v>
      </c>
      <c r="F563" s="15" t="s">
        <v>13</v>
      </c>
      <c r="G563" s="15" t="s">
        <v>17</v>
      </c>
      <c r="H563" s="17">
        <v>46630</v>
      </c>
      <c r="I563" s="15">
        <v>1200</v>
      </c>
      <c r="J563" s="18">
        <v>1400</v>
      </c>
      <c r="K563" t="str">
        <f t="shared" si="8"/>
        <v>DE180-SDR17</v>
      </c>
      <c r="L563" s="1">
        <f>VLOOKUP(K563,'[1]Tarif - Evolution Marché'!$F:$J,5,0)</f>
        <v>13.151456522633744</v>
      </c>
    </row>
    <row r="564" spans="1:12" x14ac:dyDescent="0.3">
      <c r="A564" s="8" t="s">
        <v>23</v>
      </c>
      <c r="B564" s="11">
        <v>200</v>
      </c>
      <c r="C564" s="11" t="s">
        <v>7</v>
      </c>
      <c r="D564" s="11">
        <v>10</v>
      </c>
      <c r="E564" s="21">
        <v>16.23</v>
      </c>
      <c r="F564" s="11" t="s">
        <v>13</v>
      </c>
      <c r="G564" s="11" t="s">
        <v>17</v>
      </c>
      <c r="H564" s="12">
        <v>46630</v>
      </c>
      <c r="I564" s="11">
        <v>960</v>
      </c>
      <c r="J564" s="13">
        <v>1120</v>
      </c>
      <c r="K564" t="str">
        <f t="shared" si="8"/>
        <v>DE200-SDR17</v>
      </c>
      <c r="L564" s="1">
        <f>VLOOKUP(K564,'[1]Tarif - Evolution Marché'!$F:$J,5,0)</f>
        <v>16.2284870781893</v>
      </c>
    </row>
    <row r="565" spans="1:12" x14ac:dyDescent="0.3">
      <c r="A565" s="14" t="s">
        <v>23</v>
      </c>
      <c r="B565" s="15">
        <v>225</v>
      </c>
      <c r="C565" s="15" t="s">
        <v>7</v>
      </c>
      <c r="D565" s="15">
        <v>10</v>
      </c>
      <c r="E565" s="21">
        <v>20.58</v>
      </c>
      <c r="F565" s="15" t="s">
        <v>13</v>
      </c>
      <c r="G565" s="15" t="s">
        <v>17</v>
      </c>
      <c r="H565" s="17">
        <v>46630</v>
      </c>
      <c r="I565" s="15">
        <v>960</v>
      </c>
      <c r="J565" s="18">
        <v>1120</v>
      </c>
      <c r="K565" t="str">
        <f t="shared" si="8"/>
        <v>DE225-SDR17</v>
      </c>
      <c r="L565" s="1">
        <f>VLOOKUP(K565,'[1]Tarif - Evolution Marché'!$F:$J,5,0)</f>
        <v>20.581915493827157</v>
      </c>
    </row>
    <row r="566" spans="1:12" x14ac:dyDescent="0.3">
      <c r="A566" s="8" t="s">
        <v>23</v>
      </c>
      <c r="B566" s="11">
        <v>250</v>
      </c>
      <c r="C566" s="11" t="s">
        <v>7</v>
      </c>
      <c r="D566" s="11">
        <v>10</v>
      </c>
      <c r="E566" s="21">
        <v>25.3</v>
      </c>
      <c r="F566" s="11" t="s">
        <v>13</v>
      </c>
      <c r="G566" s="11" t="s">
        <v>17</v>
      </c>
      <c r="H566" s="12">
        <v>46630</v>
      </c>
      <c r="I566" s="11">
        <v>672</v>
      </c>
      <c r="J566" s="13">
        <v>784</v>
      </c>
      <c r="K566" t="str">
        <f t="shared" si="8"/>
        <v>DE250-SDR17</v>
      </c>
      <c r="L566" s="1">
        <f>VLOOKUP(K566,'[1]Tarif - Evolution Marché'!$F:$J,5,0)</f>
        <v>25.300029012345679</v>
      </c>
    </row>
    <row r="567" spans="1:12" x14ac:dyDescent="0.3">
      <c r="A567" s="14" t="s">
        <v>23</v>
      </c>
      <c r="B567" s="15">
        <v>280</v>
      </c>
      <c r="C567" s="15" t="s">
        <v>7</v>
      </c>
      <c r="D567" s="15">
        <v>10</v>
      </c>
      <c r="E567" s="21">
        <v>31.68</v>
      </c>
      <c r="F567" s="15" t="s">
        <v>13</v>
      </c>
      <c r="G567" s="15" t="s">
        <v>17</v>
      </c>
      <c r="H567" s="17">
        <v>46630</v>
      </c>
      <c r="I567" s="15">
        <v>672</v>
      </c>
      <c r="J567" s="18">
        <v>784</v>
      </c>
      <c r="K567" t="str">
        <f t="shared" si="8"/>
        <v>DE280-SDR17</v>
      </c>
      <c r="L567" s="1">
        <f>VLOOKUP(K567,'[1]Tarif - Evolution Marché'!$F:$J,5,0)</f>
        <v>31.682018312757201</v>
      </c>
    </row>
    <row r="568" spans="1:12" x14ac:dyDescent="0.3">
      <c r="A568" s="8" t="s">
        <v>23</v>
      </c>
      <c r="B568" s="11">
        <v>315</v>
      </c>
      <c r="C568" s="11" t="s">
        <v>7</v>
      </c>
      <c r="D568" s="11">
        <v>10</v>
      </c>
      <c r="E568" s="21">
        <v>40.119999999999997</v>
      </c>
      <c r="F568" s="11" t="s">
        <v>13</v>
      </c>
      <c r="G568" s="11" t="s">
        <v>17</v>
      </c>
      <c r="H568" s="12">
        <v>46630</v>
      </c>
      <c r="I568" s="11">
        <v>432</v>
      </c>
      <c r="J568" s="13">
        <v>504</v>
      </c>
      <c r="K568" t="str">
        <f t="shared" si="8"/>
        <v>DE315-SDR17</v>
      </c>
      <c r="L568" s="1">
        <f>VLOOKUP(K568,'[1]Tarif - Evolution Marché'!$F:$J,5,0)</f>
        <v>40.115361316872431</v>
      </c>
    </row>
    <row r="569" spans="1:12" x14ac:dyDescent="0.3">
      <c r="A569" s="14" t="s">
        <v>23</v>
      </c>
      <c r="B569" s="15">
        <v>355</v>
      </c>
      <c r="C569" s="15" t="s">
        <v>7</v>
      </c>
      <c r="D569" s="15">
        <v>10</v>
      </c>
      <c r="E569" s="21">
        <v>51.06</v>
      </c>
      <c r="F569" s="15" t="s">
        <v>13</v>
      </c>
      <c r="G569" s="15" t="s">
        <v>17</v>
      </c>
      <c r="H569" s="17">
        <v>46630</v>
      </c>
      <c r="I569" s="15">
        <v>360</v>
      </c>
      <c r="J569" s="18">
        <v>420</v>
      </c>
      <c r="K569" t="str">
        <f t="shared" si="8"/>
        <v>DE355-SDR17</v>
      </c>
      <c r="L569" s="1">
        <f>VLOOKUP(K569,'[1]Tarif - Evolution Marché'!$F:$J,5,0)</f>
        <v>51.055914403292178</v>
      </c>
    </row>
    <row r="570" spans="1:12" x14ac:dyDescent="0.3">
      <c r="A570" s="8" t="s">
        <v>23</v>
      </c>
      <c r="B570" s="11">
        <v>400</v>
      </c>
      <c r="C570" s="11" t="s">
        <v>7</v>
      </c>
      <c r="D570" s="11">
        <v>10</v>
      </c>
      <c r="E570" s="21">
        <v>64.5</v>
      </c>
      <c r="F570" s="11" t="s">
        <v>13</v>
      </c>
      <c r="G570" s="11" t="s">
        <v>17</v>
      </c>
      <c r="H570" s="12">
        <v>46630</v>
      </c>
      <c r="I570" s="11">
        <v>360</v>
      </c>
      <c r="J570" s="13">
        <v>420</v>
      </c>
      <c r="K570" t="str">
        <f t="shared" si="8"/>
        <v>DE400-SDR17</v>
      </c>
      <c r="L570" s="1">
        <f>VLOOKUP(K570,'[1]Tarif - Evolution Marché'!$F:$J,5,0)</f>
        <v>64.503677572016457</v>
      </c>
    </row>
    <row r="571" spans="1:12" x14ac:dyDescent="0.3">
      <c r="A571" s="14" t="s">
        <v>23</v>
      </c>
      <c r="B571" s="15">
        <v>450</v>
      </c>
      <c r="C571" s="15" t="s">
        <v>7</v>
      </c>
      <c r="D571" s="15">
        <v>10</v>
      </c>
      <c r="E571" s="21">
        <v>81.599999999999994</v>
      </c>
      <c r="F571" s="15" t="s">
        <v>13</v>
      </c>
      <c r="G571" s="15" t="s">
        <v>17</v>
      </c>
      <c r="H571" s="17">
        <v>46630</v>
      </c>
      <c r="I571" s="15">
        <v>192</v>
      </c>
      <c r="J571" s="18">
        <v>224</v>
      </c>
      <c r="K571" t="str">
        <f t="shared" si="8"/>
        <v>DE450-SDR17</v>
      </c>
      <c r="L571" s="1">
        <f>VLOOKUP(K571,'[1]Tarif - Evolution Marché'!$F:$J,5,0)</f>
        <v>81.598291769547316</v>
      </c>
    </row>
    <row r="572" spans="1:12" x14ac:dyDescent="0.3">
      <c r="A572" s="8" t="s">
        <v>23</v>
      </c>
      <c r="B572" s="11">
        <v>500</v>
      </c>
      <c r="C572" s="11" t="s">
        <v>7</v>
      </c>
      <c r="D572" s="11">
        <v>10</v>
      </c>
      <c r="E572" s="21">
        <v>100.74</v>
      </c>
      <c r="F572" s="11" t="s">
        <v>13</v>
      </c>
      <c r="G572" s="11" t="s">
        <v>17</v>
      </c>
      <c r="H572" s="12">
        <v>46630</v>
      </c>
      <c r="I572" s="11">
        <v>192</v>
      </c>
      <c r="J572" s="13">
        <v>224</v>
      </c>
      <c r="K572" t="str">
        <f t="shared" si="8"/>
        <v>DE500-SDR17</v>
      </c>
      <c r="L572" s="1">
        <f>VLOOKUP(K572,'[1]Tarif - Evolution Marché'!$F:$J,5,0)</f>
        <v>100.7442596707819</v>
      </c>
    </row>
    <row r="573" spans="1:12" x14ac:dyDescent="0.3">
      <c r="A573" s="14" t="s">
        <v>23</v>
      </c>
      <c r="B573" s="15">
        <v>560</v>
      </c>
      <c r="C573" s="15" t="s">
        <v>7</v>
      </c>
      <c r="D573" s="15">
        <v>10</v>
      </c>
      <c r="E573" s="21">
        <v>126.27</v>
      </c>
      <c r="F573" s="15" t="s">
        <v>13</v>
      </c>
      <c r="G573" s="15" t="s">
        <v>17</v>
      </c>
      <c r="H573" s="17">
        <v>46630</v>
      </c>
      <c r="I573" s="15">
        <v>192</v>
      </c>
      <c r="J573" s="18">
        <v>224</v>
      </c>
      <c r="K573" t="str">
        <f t="shared" si="8"/>
        <v>DE560-SDR17</v>
      </c>
      <c r="L573" s="1">
        <f>VLOOKUP(K573,'[1]Tarif - Evolution Marché'!$F:$J,5,0)</f>
        <v>126.27221687242798</v>
      </c>
    </row>
    <row r="574" spans="1:12" x14ac:dyDescent="0.3">
      <c r="A574" s="8" t="s">
        <v>23</v>
      </c>
      <c r="B574" s="11">
        <v>630</v>
      </c>
      <c r="C574" s="11" t="s">
        <v>7</v>
      </c>
      <c r="D574" s="11">
        <v>10</v>
      </c>
      <c r="E574" s="21">
        <v>160.01</v>
      </c>
      <c r="F574" s="11" t="s">
        <v>13</v>
      </c>
      <c r="G574" s="11" t="s">
        <v>17</v>
      </c>
      <c r="H574" s="12">
        <v>46630</v>
      </c>
      <c r="I574" s="11">
        <v>108</v>
      </c>
      <c r="J574" s="13">
        <v>126</v>
      </c>
      <c r="K574" t="str">
        <f t="shared" si="8"/>
        <v>DE630-SDR17</v>
      </c>
      <c r="L574" s="1">
        <f>VLOOKUP(K574,'[1]Tarif - Evolution Marché'!$F:$J,5,0)</f>
        <v>160.00558888888889</v>
      </c>
    </row>
    <row r="575" spans="1:12" x14ac:dyDescent="0.3">
      <c r="A575" s="14" t="s">
        <v>23</v>
      </c>
      <c r="B575" s="15">
        <v>710</v>
      </c>
      <c r="C575" s="15" t="s">
        <v>7</v>
      </c>
      <c r="D575" s="15">
        <v>10</v>
      </c>
      <c r="E575" s="21">
        <v>202.86</v>
      </c>
      <c r="F575" s="15" t="s">
        <v>13</v>
      </c>
      <c r="G575" s="15" t="s">
        <v>17</v>
      </c>
      <c r="H575" s="17">
        <v>46630</v>
      </c>
      <c r="I575" s="15">
        <v>108</v>
      </c>
      <c r="J575" s="18">
        <v>126</v>
      </c>
      <c r="K575" t="str">
        <f t="shared" si="8"/>
        <v>DE710-SDR17</v>
      </c>
      <c r="L575" s="1">
        <f>VLOOKUP(K575,'[1]Tarif - Evolution Marché'!$F:$J,5,0)</f>
        <v>202.85608847736626</v>
      </c>
    </row>
    <row r="576" spans="1:12" x14ac:dyDescent="0.3">
      <c r="A576" s="8" t="s">
        <v>23</v>
      </c>
      <c r="B576" s="11">
        <v>800</v>
      </c>
      <c r="C576" s="11" t="s">
        <v>7</v>
      </c>
      <c r="D576" s="11">
        <v>10</v>
      </c>
      <c r="E576" s="21">
        <v>257.56</v>
      </c>
      <c r="F576" s="11" t="s">
        <v>13</v>
      </c>
      <c r="G576" s="11" t="s">
        <v>17</v>
      </c>
      <c r="H576" s="12">
        <v>46630</v>
      </c>
      <c r="I576" s="11">
        <v>108</v>
      </c>
      <c r="J576" s="13">
        <v>126</v>
      </c>
      <c r="K576" t="str">
        <f t="shared" si="8"/>
        <v>DE800-SDR17</v>
      </c>
      <c r="L576" s="1">
        <f>VLOOKUP(K576,'[1]Tarif - Evolution Marché'!$F:$J,5,0)</f>
        <v>257.55885390946503</v>
      </c>
    </row>
    <row r="577" spans="1:12" x14ac:dyDescent="0.3">
      <c r="A577" s="14" t="s">
        <v>23</v>
      </c>
      <c r="B577" s="15">
        <v>900</v>
      </c>
      <c r="C577" s="15" t="s">
        <v>7</v>
      </c>
      <c r="D577" s="15">
        <v>10</v>
      </c>
      <c r="E577" s="21">
        <v>325.94</v>
      </c>
      <c r="F577" s="15" t="s">
        <v>13</v>
      </c>
      <c r="G577" s="15" t="s">
        <v>17</v>
      </c>
      <c r="H577" s="17">
        <v>46630</v>
      </c>
      <c r="I577" s="15">
        <v>72</v>
      </c>
      <c r="J577" s="18">
        <v>84</v>
      </c>
      <c r="K577" t="str">
        <f t="shared" si="8"/>
        <v>DE900-SDR17</v>
      </c>
      <c r="L577" s="1">
        <f>VLOOKUP(K577,'[1]Tarif - Evolution Marché'!$F:$J,5,0)</f>
        <v>325.93731069958847</v>
      </c>
    </row>
    <row r="578" spans="1:12" x14ac:dyDescent="0.3">
      <c r="A578" s="8" t="s">
        <v>23</v>
      </c>
      <c r="B578" s="11">
        <v>1000</v>
      </c>
      <c r="C578" s="11" t="s">
        <v>7</v>
      </c>
      <c r="D578" s="11">
        <v>10</v>
      </c>
      <c r="E578" s="21">
        <v>401.15</v>
      </c>
      <c r="F578" s="11" t="s">
        <v>13</v>
      </c>
      <c r="G578" s="11" t="s">
        <v>17</v>
      </c>
      <c r="H578" s="12">
        <v>46630</v>
      </c>
      <c r="I578" s="11">
        <v>48</v>
      </c>
      <c r="J578" s="13">
        <v>56</v>
      </c>
      <c r="K578" t="str">
        <f t="shared" si="8"/>
        <v>DE1000-SDR17</v>
      </c>
      <c r="L578" s="1">
        <f>VLOOKUP(K578,'[1]Tarif - Evolution Marché'!$F:$J,5,0)</f>
        <v>401.15361316872429</v>
      </c>
    </row>
    <row r="579" spans="1:12" x14ac:dyDescent="0.3">
      <c r="A579" s="14" t="s">
        <v>23</v>
      </c>
      <c r="B579" s="15">
        <v>25</v>
      </c>
      <c r="C579" s="15" t="s">
        <v>8</v>
      </c>
      <c r="D579" s="15">
        <v>12.5</v>
      </c>
      <c r="E579" s="21">
        <v>0.34</v>
      </c>
      <c r="F579" s="15" t="s">
        <v>13</v>
      </c>
      <c r="G579" s="15" t="s">
        <v>17</v>
      </c>
      <c r="H579" s="17">
        <v>46630</v>
      </c>
      <c r="I579" s="17"/>
      <c r="J579" s="18"/>
      <c r="K579" t="str">
        <f t="shared" ref="K579:K642" si="9">CONCATENATE("DE",B579,"-",C579)</f>
        <v>DE25-SDR13,6</v>
      </c>
      <c r="L579" s="1">
        <f>VLOOKUP(K579,'[1]Tarif - Evolution Marché'!$F:$J,5,0)</f>
        <v>0.34417156584362141</v>
      </c>
    </row>
    <row r="580" spans="1:12" x14ac:dyDescent="0.3">
      <c r="A580" s="8" t="s">
        <v>23</v>
      </c>
      <c r="B580" s="11">
        <v>32</v>
      </c>
      <c r="C580" s="11" t="s">
        <v>8</v>
      </c>
      <c r="D580" s="11">
        <v>12.5</v>
      </c>
      <c r="E580" s="21">
        <v>0.54</v>
      </c>
      <c r="F580" s="11" t="s">
        <v>13</v>
      </c>
      <c r="G580" s="11" t="s">
        <v>17</v>
      </c>
      <c r="H580" s="12">
        <v>46630</v>
      </c>
      <c r="I580" s="12"/>
      <c r="J580" s="13"/>
      <c r="K580" t="str">
        <f t="shared" si="9"/>
        <v>DE32-SDR13,6</v>
      </c>
      <c r="L580" s="1">
        <f>VLOOKUP(K580,'[1]Tarif - Evolution Marché'!$F:$J,5,0)</f>
        <v>0.53563124485596703</v>
      </c>
    </row>
    <row r="581" spans="1:12" x14ac:dyDescent="0.3">
      <c r="A581" s="14" t="s">
        <v>23</v>
      </c>
      <c r="B581" s="15">
        <v>40</v>
      </c>
      <c r="C581" s="15" t="s">
        <v>8</v>
      </c>
      <c r="D581" s="15">
        <v>12.5</v>
      </c>
      <c r="E581" s="21">
        <v>0.82</v>
      </c>
      <c r="F581" s="15" t="s">
        <v>13</v>
      </c>
      <c r="G581" s="15" t="s">
        <v>17</v>
      </c>
      <c r="H581" s="17">
        <v>46630</v>
      </c>
      <c r="I581" s="17"/>
      <c r="J581" s="18"/>
      <c r="K581" t="str">
        <f t="shared" si="9"/>
        <v>DE40-SDR13,6</v>
      </c>
      <c r="L581" s="1">
        <f>VLOOKUP(K581,'[1]Tarif - Evolution Marché'!$F:$J,5,0)</f>
        <v>0.82054148148148143</v>
      </c>
    </row>
    <row r="582" spans="1:12" x14ac:dyDescent="0.3">
      <c r="A582" s="8" t="s">
        <v>23</v>
      </c>
      <c r="B582" s="11">
        <v>50</v>
      </c>
      <c r="C582" s="11" t="s">
        <v>8</v>
      </c>
      <c r="D582" s="11">
        <v>12.5</v>
      </c>
      <c r="E582" s="21">
        <v>1.27</v>
      </c>
      <c r="F582" s="11" t="s">
        <v>13</v>
      </c>
      <c r="G582" s="11" t="s">
        <v>17</v>
      </c>
      <c r="H582" s="12">
        <v>46630</v>
      </c>
      <c r="I582" s="12"/>
      <c r="J582" s="13"/>
      <c r="K582" t="str">
        <f t="shared" si="9"/>
        <v>DE50-SDR13,6</v>
      </c>
      <c r="L582" s="1">
        <f>VLOOKUP(K582,'[1]Tarif - Evolution Marché'!$F:$J,5,0)</f>
        <v>1.265001450617284</v>
      </c>
    </row>
    <row r="583" spans="1:12" x14ac:dyDescent="0.3">
      <c r="A583" s="14" t="s">
        <v>23</v>
      </c>
      <c r="B583" s="15">
        <v>63</v>
      </c>
      <c r="C583" s="15" t="s">
        <v>8</v>
      </c>
      <c r="D583" s="15">
        <v>12.5</v>
      </c>
      <c r="E583" s="21">
        <v>2.0099999999999998</v>
      </c>
      <c r="F583" s="15" t="s">
        <v>13</v>
      </c>
      <c r="G583" s="15" t="s">
        <v>17</v>
      </c>
      <c r="H583" s="17">
        <v>46630</v>
      </c>
      <c r="I583" s="17"/>
      <c r="J583" s="18"/>
      <c r="K583" t="str">
        <f t="shared" si="9"/>
        <v>DE63-SDR13,6</v>
      </c>
      <c r="L583" s="1">
        <f>VLOOKUP(K583,'[1]Tarif - Evolution Marché'!$F:$J,5,0)</f>
        <v>2.0126059115226336</v>
      </c>
    </row>
    <row r="584" spans="1:12" x14ac:dyDescent="0.3">
      <c r="A584" s="8" t="s">
        <v>23</v>
      </c>
      <c r="B584" s="11">
        <v>75</v>
      </c>
      <c r="C584" s="11" t="s">
        <v>8</v>
      </c>
      <c r="D584" s="11">
        <v>12.5</v>
      </c>
      <c r="E584" s="21">
        <v>2.85</v>
      </c>
      <c r="F584" s="11" t="s">
        <v>13</v>
      </c>
      <c r="G584" s="11" t="s">
        <v>17</v>
      </c>
      <c r="H584" s="12">
        <v>46630</v>
      </c>
      <c r="I584" s="12"/>
      <c r="J584" s="13"/>
      <c r="K584" t="str">
        <f t="shared" si="9"/>
        <v>DE75-SDR13,6</v>
      </c>
      <c r="L584" s="1">
        <f>VLOOKUP(K584,'[1]Tarif - Evolution Marché'!$F:$J,5,0)</f>
        <v>2.8491023662551438</v>
      </c>
    </row>
    <row r="585" spans="1:12" x14ac:dyDescent="0.3">
      <c r="A585" s="14" t="s">
        <v>23</v>
      </c>
      <c r="B585" s="15">
        <v>90</v>
      </c>
      <c r="C585" s="15" t="s">
        <v>8</v>
      </c>
      <c r="D585" s="15">
        <v>12.5</v>
      </c>
      <c r="E585" s="21">
        <v>4.08</v>
      </c>
      <c r="F585" s="15" t="s">
        <v>13</v>
      </c>
      <c r="G585" s="15" t="s">
        <v>17</v>
      </c>
      <c r="H585" s="17">
        <v>46630</v>
      </c>
      <c r="I585" s="17"/>
      <c r="J585" s="18"/>
      <c r="K585" t="str">
        <f t="shared" si="9"/>
        <v>DE90-SDR13,6</v>
      </c>
      <c r="L585" s="1">
        <f>VLOOKUP(K585,'[1]Tarif - Evolution Marché'!$F:$J,5,0)</f>
        <v>4.079914588477366</v>
      </c>
    </row>
    <row r="586" spans="1:12" x14ac:dyDescent="0.3">
      <c r="A586" s="8" t="s">
        <v>23</v>
      </c>
      <c r="B586" s="11">
        <v>110</v>
      </c>
      <c r="C586" s="11" t="s">
        <v>8</v>
      </c>
      <c r="D586" s="11">
        <v>12.5</v>
      </c>
      <c r="E586" s="21">
        <v>6.02</v>
      </c>
      <c r="F586" s="11" t="s">
        <v>13</v>
      </c>
      <c r="G586" s="11" t="s">
        <v>17</v>
      </c>
      <c r="H586" s="12">
        <v>46630</v>
      </c>
      <c r="I586" s="12"/>
      <c r="J586" s="13"/>
      <c r="K586" t="str">
        <f t="shared" si="9"/>
        <v>DE110-SDR13,6</v>
      </c>
      <c r="L586" s="1">
        <f>VLOOKUP(K586,'[1]Tarif - Evolution Marché'!$F:$J,5,0)</f>
        <v>6.0173041975308648</v>
      </c>
    </row>
    <row r="587" spans="1:12" x14ac:dyDescent="0.3">
      <c r="A587" s="14" t="s">
        <v>23</v>
      </c>
      <c r="B587" s="15">
        <v>125</v>
      </c>
      <c r="C587" s="15" t="s">
        <v>8</v>
      </c>
      <c r="D587" s="15">
        <v>12.5</v>
      </c>
      <c r="E587" s="21">
        <v>7.75</v>
      </c>
      <c r="F587" s="15" t="s">
        <v>13</v>
      </c>
      <c r="G587" s="15" t="s">
        <v>17</v>
      </c>
      <c r="H587" s="17">
        <v>46630</v>
      </c>
      <c r="I587" s="15">
        <v>2400</v>
      </c>
      <c r="J587" s="18">
        <v>2800</v>
      </c>
      <c r="K587" t="str">
        <f t="shared" si="9"/>
        <v>DE125-SDR13,6</v>
      </c>
      <c r="L587" s="1">
        <f>VLOOKUP(K587,'[1]Tarif - Evolution Marché'!$F:$J,5,0)</f>
        <v>7.7495584362139915</v>
      </c>
    </row>
    <row r="588" spans="1:12" x14ac:dyDescent="0.3">
      <c r="A588" s="8" t="s">
        <v>23</v>
      </c>
      <c r="B588" s="11">
        <v>140</v>
      </c>
      <c r="C588" s="11" t="s">
        <v>8</v>
      </c>
      <c r="D588" s="11">
        <v>12.5</v>
      </c>
      <c r="E588" s="21">
        <v>9.7100000000000009</v>
      </c>
      <c r="F588" s="11" t="s">
        <v>13</v>
      </c>
      <c r="G588" s="11" t="s">
        <v>17</v>
      </c>
      <c r="H588" s="12">
        <v>46630</v>
      </c>
      <c r="I588" s="11">
        <v>1920</v>
      </c>
      <c r="J588" s="13">
        <v>2240</v>
      </c>
      <c r="K588" t="str">
        <f t="shared" si="9"/>
        <v>DE140-SDR13,6</v>
      </c>
      <c r="L588" s="1">
        <f>VLOOKUP(K588,'[1]Tarif - Evolution Marché'!$F:$J,5,0)</f>
        <v>9.7097408641975296</v>
      </c>
    </row>
    <row r="589" spans="1:12" x14ac:dyDescent="0.3">
      <c r="A589" s="14" t="s">
        <v>23</v>
      </c>
      <c r="B589" s="15">
        <v>160</v>
      </c>
      <c r="C589" s="15" t="s">
        <v>8</v>
      </c>
      <c r="D589" s="15">
        <v>12.5</v>
      </c>
      <c r="E589" s="21">
        <v>12.67</v>
      </c>
      <c r="F589" s="15" t="s">
        <v>13</v>
      </c>
      <c r="G589" s="15" t="s">
        <v>17</v>
      </c>
      <c r="H589" s="17">
        <v>46630</v>
      </c>
      <c r="I589" s="15">
        <v>1920</v>
      </c>
      <c r="J589" s="18">
        <v>2240</v>
      </c>
      <c r="K589" t="str">
        <f t="shared" si="9"/>
        <v>DE160-SDR13,6</v>
      </c>
      <c r="L589" s="1">
        <f>VLOOKUP(K589,'[1]Tarif - Evolution Marché'!$F:$J,5,0)</f>
        <v>12.67280732510288</v>
      </c>
    </row>
    <row r="590" spans="1:12" x14ac:dyDescent="0.3">
      <c r="A590" s="8" t="s">
        <v>23</v>
      </c>
      <c r="B590" s="11">
        <v>180</v>
      </c>
      <c r="C590" s="11" t="s">
        <v>8</v>
      </c>
      <c r="D590" s="11">
        <v>12.5</v>
      </c>
      <c r="E590" s="21">
        <v>16.07</v>
      </c>
      <c r="F590" s="11" t="s">
        <v>13</v>
      </c>
      <c r="G590" s="11" t="s">
        <v>17</v>
      </c>
      <c r="H590" s="12">
        <v>46630</v>
      </c>
      <c r="I590" s="11">
        <v>1200</v>
      </c>
      <c r="J590" s="13">
        <v>1400</v>
      </c>
      <c r="K590" t="str">
        <f t="shared" si="9"/>
        <v>DE180-SDR13,6</v>
      </c>
      <c r="L590" s="1">
        <f>VLOOKUP(K590,'[1]Tarif - Evolution Marché'!$F:$J,5,0)</f>
        <v>16.068937345679011</v>
      </c>
    </row>
    <row r="591" spans="1:12" x14ac:dyDescent="0.3">
      <c r="A591" s="14" t="s">
        <v>23</v>
      </c>
      <c r="B591" s="15">
        <v>200</v>
      </c>
      <c r="C591" s="15" t="s">
        <v>8</v>
      </c>
      <c r="D591" s="15">
        <v>12.5</v>
      </c>
      <c r="E591" s="21">
        <v>19.72</v>
      </c>
      <c r="F591" s="15" t="s">
        <v>13</v>
      </c>
      <c r="G591" s="15" t="s">
        <v>17</v>
      </c>
      <c r="H591" s="17">
        <v>46630</v>
      </c>
      <c r="I591" s="15">
        <v>960</v>
      </c>
      <c r="J591" s="18">
        <v>1120</v>
      </c>
      <c r="K591" t="str">
        <f t="shared" si="9"/>
        <v>DE200-SDR13,6</v>
      </c>
      <c r="L591" s="1">
        <f>VLOOKUP(K591,'[1]Tarif - Evolution Marché'!$F:$J,5,0)</f>
        <v>19.715788374485598</v>
      </c>
    </row>
    <row r="592" spans="1:12" x14ac:dyDescent="0.3">
      <c r="A592" s="8" t="s">
        <v>23</v>
      </c>
      <c r="B592" s="11">
        <v>225</v>
      </c>
      <c r="C592" s="11" t="s">
        <v>8</v>
      </c>
      <c r="D592" s="11">
        <v>12.5</v>
      </c>
      <c r="E592" s="21">
        <v>25.07</v>
      </c>
      <c r="F592" s="11" t="s">
        <v>13</v>
      </c>
      <c r="G592" s="11" t="s">
        <v>17</v>
      </c>
      <c r="H592" s="12">
        <v>46630</v>
      </c>
      <c r="I592" s="11">
        <v>960</v>
      </c>
      <c r="J592" s="13">
        <v>1120</v>
      </c>
      <c r="K592" t="str">
        <f t="shared" si="9"/>
        <v>DE225-SDR13,6</v>
      </c>
      <c r="L592" s="1">
        <f>VLOOKUP(K592,'[1]Tarif - Evolution Marché'!$F:$J,5,0)</f>
        <v>25.072100823045268</v>
      </c>
    </row>
    <row r="593" spans="1:12" x14ac:dyDescent="0.3">
      <c r="A593" s="14" t="s">
        <v>23</v>
      </c>
      <c r="B593" s="15">
        <v>250</v>
      </c>
      <c r="C593" s="15" t="s">
        <v>8</v>
      </c>
      <c r="D593" s="15">
        <v>12.5</v>
      </c>
      <c r="E593" s="21">
        <v>30.77</v>
      </c>
      <c r="F593" s="15" t="s">
        <v>13</v>
      </c>
      <c r="G593" s="15" t="s">
        <v>17</v>
      </c>
      <c r="H593" s="17">
        <v>46630</v>
      </c>
      <c r="I593" s="15">
        <v>672</v>
      </c>
      <c r="J593" s="18">
        <v>784</v>
      </c>
      <c r="K593" t="str">
        <f t="shared" si="9"/>
        <v>DE250-SDR13,6</v>
      </c>
      <c r="L593" s="1">
        <f>VLOOKUP(K593,'[1]Tarif - Evolution Marché'!$F:$J,5,0)</f>
        <v>30.770305555555556</v>
      </c>
    </row>
    <row r="594" spans="1:12" x14ac:dyDescent="0.3">
      <c r="A594" s="8" t="s">
        <v>23</v>
      </c>
      <c r="B594" s="11">
        <v>280</v>
      </c>
      <c r="C594" s="11" t="s">
        <v>8</v>
      </c>
      <c r="D594" s="11">
        <v>12.5</v>
      </c>
      <c r="E594" s="21">
        <v>38.520000000000003</v>
      </c>
      <c r="F594" s="11" t="s">
        <v>13</v>
      </c>
      <c r="G594" s="11" t="s">
        <v>17</v>
      </c>
      <c r="H594" s="12">
        <v>46630</v>
      </c>
      <c r="I594" s="11">
        <v>672</v>
      </c>
      <c r="J594" s="13">
        <v>784</v>
      </c>
      <c r="K594" t="str">
        <f t="shared" si="9"/>
        <v>DE280-SDR13,6</v>
      </c>
      <c r="L594" s="1">
        <f>VLOOKUP(K594,'[1]Tarif - Evolution Marché'!$F:$J,5,0)</f>
        <v>38.519863991769547</v>
      </c>
    </row>
    <row r="595" spans="1:12" x14ac:dyDescent="0.3">
      <c r="A595" s="14" t="s">
        <v>23</v>
      </c>
      <c r="B595" s="15">
        <v>315</v>
      </c>
      <c r="C595" s="15" t="s">
        <v>8</v>
      </c>
      <c r="D595" s="15">
        <v>12.5</v>
      </c>
      <c r="E595" s="21">
        <v>49</v>
      </c>
      <c r="F595" s="15" t="s">
        <v>13</v>
      </c>
      <c r="G595" s="15" t="s">
        <v>17</v>
      </c>
      <c r="H595" s="17">
        <v>46630</v>
      </c>
      <c r="I595" s="15">
        <v>432</v>
      </c>
      <c r="J595" s="18">
        <v>504</v>
      </c>
      <c r="K595" t="str">
        <f t="shared" si="9"/>
        <v>DE315-SDR13,6</v>
      </c>
      <c r="L595" s="1">
        <f>VLOOKUP(K595,'[1]Tarif - Evolution Marché'!$F:$J,5,0)</f>
        <v>49.004560699588474</v>
      </c>
    </row>
    <row r="596" spans="1:12" x14ac:dyDescent="0.3">
      <c r="A596" s="8" t="s">
        <v>23</v>
      </c>
      <c r="B596" s="11">
        <v>355</v>
      </c>
      <c r="C596" s="11" t="s">
        <v>8</v>
      </c>
      <c r="D596" s="11">
        <v>12.5</v>
      </c>
      <c r="E596" s="21">
        <v>62</v>
      </c>
      <c r="F596" s="11" t="s">
        <v>13</v>
      </c>
      <c r="G596" s="11" t="s">
        <v>17</v>
      </c>
      <c r="H596" s="12">
        <v>46630</v>
      </c>
      <c r="I596" s="11">
        <v>360</v>
      </c>
      <c r="J596" s="13">
        <v>420</v>
      </c>
      <c r="K596" t="str">
        <f t="shared" si="9"/>
        <v>DE355-SDR13,6</v>
      </c>
      <c r="L596" s="1">
        <f>VLOOKUP(K596,'[1]Tarif - Evolution Marché'!$F:$J,5,0)</f>
        <v>61.996467489711932</v>
      </c>
    </row>
    <row r="597" spans="1:12" x14ac:dyDescent="0.3">
      <c r="A597" s="14" t="s">
        <v>23</v>
      </c>
      <c r="B597" s="15">
        <v>400</v>
      </c>
      <c r="C597" s="15" t="s">
        <v>8</v>
      </c>
      <c r="D597" s="15">
        <v>12.5</v>
      </c>
      <c r="E597" s="21">
        <v>78.64</v>
      </c>
      <c r="F597" s="15" t="s">
        <v>13</v>
      </c>
      <c r="G597" s="15" t="s">
        <v>17</v>
      </c>
      <c r="H597" s="17">
        <v>46630</v>
      </c>
      <c r="I597" s="15">
        <v>360</v>
      </c>
      <c r="J597" s="18">
        <v>420</v>
      </c>
      <c r="K597" t="str">
        <f t="shared" si="9"/>
        <v>DE400-SDR13,6</v>
      </c>
      <c r="L597" s="1">
        <f>VLOOKUP(K597,'[1]Tarif - Evolution Marché'!$F:$J,5,0)</f>
        <v>78.635225308641978</v>
      </c>
    </row>
    <row r="598" spans="1:12" x14ac:dyDescent="0.3">
      <c r="A598" s="8" t="s">
        <v>23</v>
      </c>
      <c r="B598" s="11">
        <v>450</v>
      </c>
      <c r="C598" s="11" t="s">
        <v>8</v>
      </c>
      <c r="D598" s="11">
        <v>12.5</v>
      </c>
      <c r="E598" s="21">
        <v>99.6</v>
      </c>
      <c r="F598" s="11" t="s">
        <v>13</v>
      </c>
      <c r="G598" s="11" t="s">
        <v>17</v>
      </c>
      <c r="H598" s="12">
        <v>46630</v>
      </c>
      <c r="I598" s="11">
        <v>192</v>
      </c>
      <c r="J598" s="13">
        <v>224</v>
      </c>
      <c r="K598" t="str">
        <f t="shared" si="9"/>
        <v>DE450-SDR13,6</v>
      </c>
      <c r="L598" s="1">
        <f>VLOOKUP(K598,'[1]Tarif - Evolution Marché'!$F:$J,5,0)</f>
        <v>99.604618724279845</v>
      </c>
    </row>
    <row r="599" spans="1:12" x14ac:dyDescent="0.3">
      <c r="A599" s="14" t="s">
        <v>23</v>
      </c>
      <c r="B599" s="15">
        <v>500</v>
      </c>
      <c r="C599" s="15" t="s">
        <v>8</v>
      </c>
      <c r="D599" s="15">
        <v>12.5</v>
      </c>
      <c r="E599" s="21">
        <v>122.85</v>
      </c>
      <c r="F599" s="15" t="s">
        <v>13</v>
      </c>
      <c r="G599" s="15" t="s">
        <v>17</v>
      </c>
      <c r="H599" s="17">
        <v>46630</v>
      </c>
      <c r="I599" s="15">
        <v>192</v>
      </c>
      <c r="J599" s="18">
        <v>224</v>
      </c>
      <c r="K599" t="str">
        <f t="shared" si="9"/>
        <v>DE500-SDR13,6</v>
      </c>
      <c r="L599" s="1">
        <f>VLOOKUP(K599,'[1]Tarif - Evolution Marché'!$F:$J,5,0)</f>
        <v>122.85329403292181</v>
      </c>
    </row>
    <row r="600" spans="1:12" x14ac:dyDescent="0.3">
      <c r="A600" s="8" t="s">
        <v>23</v>
      </c>
      <c r="B600" s="11">
        <v>560</v>
      </c>
      <c r="C600" s="11" t="s">
        <v>8</v>
      </c>
      <c r="D600" s="11">
        <v>12.5</v>
      </c>
      <c r="E600" s="21">
        <v>154.08000000000001</v>
      </c>
      <c r="F600" s="11" t="s">
        <v>13</v>
      </c>
      <c r="G600" s="11" t="s">
        <v>17</v>
      </c>
      <c r="H600" s="12">
        <v>46630</v>
      </c>
      <c r="I600" s="11">
        <v>192</v>
      </c>
      <c r="J600" s="13">
        <v>224</v>
      </c>
      <c r="K600" t="str">
        <f t="shared" si="9"/>
        <v>DE560-SDR13,6</v>
      </c>
      <c r="L600" s="1">
        <f>VLOOKUP(K600,'[1]Tarif - Evolution Marché'!$F:$J,5,0)</f>
        <v>154.07945596707819</v>
      </c>
    </row>
    <row r="601" spans="1:12" x14ac:dyDescent="0.3">
      <c r="A601" s="14" t="s">
        <v>23</v>
      </c>
      <c r="B601" s="15">
        <v>630</v>
      </c>
      <c r="C601" s="15" t="s">
        <v>8</v>
      </c>
      <c r="D601" s="15">
        <v>12.5</v>
      </c>
      <c r="E601" s="21">
        <v>194.88</v>
      </c>
      <c r="F601" s="15" t="s">
        <v>13</v>
      </c>
      <c r="G601" s="15" t="s">
        <v>17</v>
      </c>
      <c r="H601" s="17">
        <v>46630</v>
      </c>
      <c r="I601" s="15">
        <v>108</v>
      </c>
      <c r="J601" s="18">
        <v>126</v>
      </c>
      <c r="K601" t="str">
        <f t="shared" si="9"/>
        <v>DE630-SDR13,6</v>
      </c>
      <c r="L601" s="1">
        <f>VLOOKUP(K601,'[1]Tarif - Evolution Marché'!$F:$J,5,0)</f>
        <v>194.87860185185184</v>
      </c>
    </row>
    <row r="602" spans="1:12" x14ac:dyDescent="0.3">
      <c r="A602" s="8" t="s">
        <v>23</v>
      </c>
      <c r="B602" s="11">
        <v>710</v>
      </c>
      <c r="C602" s="11" t="s">
        <v>8</v>
      </c>
      <c r="D602" s="11">
        <v>12.5</v>
      </c>
      <c r="E602" s="21">
        <v>248.44</v>
      </c>
      <c r="F602" s="11" t="s">
        <v>13</v>
      </c>
      <c r="G602" s="11" t="s">
        <v>17</v>
      </c>
      <c r="H602" s="12">
        <v>46630</v>
      </c>
      <c r="I602" s="11">
        <v>108</v>
      </c>
      <c r="J602" s="13">
        <v>126</v>
      </c>
      <c r="K602" t="str">
        <f t="shared" si="9"/>
        <v>DE710-SDR13,6</v>
      </c>
      <c r="L602" s="1">
        <f>VLOOKUP(K602,'[1]Tarif - Evolution Marché'!$F:$J,5,0)</f>
        <v>248.44172633744856</v>
      </c>
    </row>
    <row r="603" spans="1:12" x14ac:dyDescent="0.3">
      <c r="A603" s="14" t="s">
        <v>23</v>
      </c>
      <c r="B603" s="15">
        <v>800</v>
      </c>
      <c r="C603" s="15" t="s">
        <v>8</v>
      </c>
      <c r="D603" s="15">
        <v>12.5</v>
      </c>
      <c r="E603" s="21">
        <v>314.54000000000002</v>
      </c>
      <c r="F603" s="15" t="s">
        <v>13</v>
      </c>
      <c r="G603" s="15" t="s">
        <v>17</v>
      </c>
      <c r="H603" s="17">
        <v>46630</v>
      </c>
      <c r="I603" s="15">
        <v>108</v>
      </c>
      <c r="J603" s="18">
        <v>126</v>
      </c>
      <c r="K603" t="str">
        <f t="shared" si="9"/>
        <v>DE800-SDR13,6</v>
      </c>
      <c r="L603" s="1">
        <f>VLOOKUP(K603,'[1]Tarif - Evolution Marché'!$F:$J,5,0)</f>
        <v>314.54090123456791</v>
      </c>
    </row>
    <row r="604" spans="1:12" x14ac:dyDescent="0.3">
      <c r="A604" s="8" t="s">
        <v>23</v>
      </c>
      <c r="B604" s="11">
        <v>900</v>
      </c>
      <c r="C604" s="11" t="s">
        <v>8</v>
      </c>
      <c r="D604" s="11">
        <v>12.5</v>
      </c>
      <c r="E604" s="21">
        <v>396.6</v>
      </c>
      <c r="F604" s="11" t="s">
        <v>13</v>
      </c>
      <c r="G604" s="11" t="s">
        <v>17</v>
      </c>
      <c r="H604" s="12">
        <v>46630</v>
      </c>
      <c r="I604" s="11">
        <v>72</v>
      </c>
      <c r="J604" s="13">
        <v>84</v>
      </c>
      <c r="K604" t="str">
        <f t="shared" si="9"/>
        <v>DE900-SDR13,6</v>
      </c>
      <c r="L604" s="1">
        <f>VLOOKUP(K604,'[1]Tarif - Evolution Marché'!$F:$J,5,0)</f>
        <v>396.59504938271607</v>
      </c>
    </row>
    <row r="605" spans="1:12" x14ac:dyDescent="0.3">
      <c r="A605" s="14" t="s">
        <v>23</v>
      </c>
      <c r="B605" s="15">
        <v>20</v>
      </c>
      <c r="C605" s="15" t="s">
        <v>9</v>
      </c>
      <c r="D605" s="15">
        <v>16</v>
      </c>
      <c r="E605" s="21">
        <v>0.27</v>
      </c>
      <c r="F605" s="15" t="s">
        <v>13</v>
      </c>
      <c r="G605" s="15" t="s">
        <v>17</v>
      </c>
      <c r="H605" s="17">
        <v>46630</v>
      </c>
      <c r="I605" s="17"/>
      <c r="J605" s="18"/>
      <c r="K605" t="str">
        <f t="shared" si="9"/>
        <v>DE20-SDR11</v>
      </c>
      <c r="L605" s="1">
        <f>VLOOKUP(K605,'[1]Tarif - Evolution Marché'!$F:$J,5,0)</f>
        <v>0.26895526337448555</v>
      </c>
    </row>
    <row r="606" spans="1:12" x14ac:dyDescent="0.3">
      <c r="A606" s="8" t="s">
        <v>23</v>
      </c>
      <c r="B606" s="11">
        <v>25</v>
      </c>
      <c r="C606" s="11" t="s">
        <v>9</v>
      </c>
      <c r="D606" s="11">
        <v>16</v>
      </c>
      <c r="E606" s="21">
        <v>0.39</v>
      </c>
      <c r="F606" s="11" t="s">
        <v>13</v>
      </c>
      <c r="G606" s="11" t="s">
        <v>17</v>
      </c>
      <c r="H606" s="12">
        <v>46630</v>
      </c>
      <c r="I606" s="12"/>
      <c r="J606" s="13"/>
      <c r="K606" t="str">
        <f t="shared" si="9"/>
        <v>DE25-SDR11</v>
      </c>
      <c r="L606" s="1">
        <f>VLOOKUP(K606,'[1]Tarif - Evolution Marché'!$F:$J,5,0)</f>
        <v>0.39431576748971192</v>
      </c>
    </row>
    <row r="607" spans="1:12" x14ac:dyDescent="0.3">
      <c r="A607" s="14" t="s">
        <v>23</v>
      </c>
      <c r="B607" s="15">
        <v>32</v>
      </c>
      <c r="C607" s="15" t="s">
        <v>9</v>
      </c>
      <c r="D607" s="15">
        <v>16</v>
      </c>
      <c r="E607" s="21">
        <v>0.64</v>
      </c>
      <c r="F607" s="15" t="s">
        <v>13</v>
      </c>
      <c r="G607" s="15" t="s">
        <v>17</v>
      </c>
      <c r="H607" s="17">
        <v>46630</v>
      </c>
      <c r="I607" s="17"/>
      <c r="J607" s="18"/>
      <c r="K607" t="str">
        <f t="shared" si="9"/>
        <v>DE32-SDR11</v>
      </c>
      <c r="L607" s="1">
        <f>VLOOKUP(K607,'[1]Tarif - Evolution Marché'!$F:$J,5,0)</f>
        <v>0.64275749382716041</v>
      </c>
    </row>
    <row r="608" spans="1:12" x14ac:dyDescent="0.3">
      <c r="A608" s="8" t="s">
        <v>23</v>
      </c>
      <c r="B608" s="11">
        <v>40</v>
      </c>
      <c r="C608" s="11" t="s">
        <v>9</v>
      </c>
      <c r="D608" s="11">
        <v>16</v>
      </c>
      <c r="E608" s="21">
        <v>0.99</v>
      </c>
      <c r="F608" s="11" t="s">
        <v>13</v>
      </c>
      <c r="G608" s="11" t="s">
        <v>17</v>
      </c>
      <c r="H608" s="12">
        <v>46630</v>
      </c>
      <c r="I608" s="12"/>
      <c r="J608" s="13"/>
      <c r="K608" t="str">
        <f t="shared" si="9"/>
        <v>DE40-SDR11</v>
      </c>
      <c r="L608" s="1">
        <f>VLOOKUP(K608,'[1]Tarif - Evolution Marché'!$F:$J,5,0)</f>
        <v>0.98920834156378601</v>
      </c>
    </row>
    <row r="609" spans="1:12" x14ac:dyDescent="0.3">
      <c r="A609" s="14" t="s">
        <v>23</v>
      </c>
      <c r="B609" s="15">
        <v>50</v>
      </c>
      <c r="C609" s="15" t="s">
        <v>9</v>
      </c>
      <c r="D609" s="15">
        <v>16</v>
      </c>
      <c r="E609" s="21">
        <v>1.53</v>
      </c>
      <c r="F609" s="15" t="s">
        <v>13</v>
      </c>
      <c r="G609" s="15" t="s">
        <v>17</v>
      </c>
      <c r="H609" s="17">
        <v>46630</v>
      </c>
      <c r="I609" s="17"/>
      <c r="J609" s="18"/>
      <c r="K609" t="str">
        <f t="shared" si="9"/>
        <v>DE50-SDR11</v>
      </c>
      <c r="L609" s="1">
        <f>VLOOKUP(K609,'[1]Tarif - Evolution Marché'!$F:$J,5,0)</f>
        <v>1.5339567139917696</v>
      </c>
    </row>
    <row r="610" spans="1:12" x14ac:dyDescent="0.3">
      <c r="A610" s="8" t="s">
        <v>23</v>
      </c>
      <c r="B610" s="11">
        <v>63</v>
      </c>
      <c r="C610" s="11" t="s">
        <v>9</v>
      </c>
      <c r="D610" s="11">
        <v>16</v>
      </c>
      <c r="E610" s="21">
        <v>2.42</v>
      </c>
      <c r="F610" s="11" t="s">
        <v>13</v>
      </c>
      <c r="G610" s="11" t="s">
        <v>17</v>
      </c>
      <c r="H610" s="12">
        <v>46630</v>
      </c>
      <c r="I610" s="12"/>
      <c r="J610" s="13"/>
      <c r="K610" t="str">
        <f t="shared" si="9"/>
        <v>DE63-SDR11</v>
      </c>
      <c r="L610" s="1">
        <f>VLOOKUP(K610,'[1]Tarif - Evolution Marché'!$F:$J,5,0)</f>
        <v>2.4160388065843623</v>
      </c>
    </row>
    <row r="611" spans="1:12" x14ac:dyDescent="0.3">
      <c r="A611" s="14" t="s">
        <v>23</v>
      </c>
      <c r="B611" s="15">
        <v>75</v>
      </c>
      <c r="C611" s="15" t="s">
        <v>9</v>
      </c>
      <c r="D611" s="15">
        <v>16</v>
      </c>
      <c r="E611" s="21">
        <v>3.37</v>
      </c>
      <c r="F611" s="15" t="s">
        <v>13</v>
      </c>
      <c r="G611" s="15" t="s">
        <v>17</v>
      </c>
      <c r="H611" s="17">
        <v>46630</v>
      </c>
      <c r="I611" s="17"/>
      <c r="J611" s="18"/>
      <c r="K611" t="str">
        <f t="shared" si="9"/>
        <v>DE75-SDR11</v>
      </c>
      <c r="L611" s="1">
        <f>VLOOKUP(K611,'[1]Tarif - Evolution Marché'!$F:$J,5,0)</f>
        <v>3.3733372016460903</v>
      </c>
    </row>
    <row r="612" spans="1:12" x14ac:dyDescent="0.3">
      <c r="A612" s="8" t="s">
        <v>23</v>
      </c>
      <c r="B612" s="11">
        <v>90</v>
      </c>
      <c r="C612" s="11" t="s">
        <v>9</v>
      </c>
      <c r="D612" s="11">
        <v>16</v>
      </c>
      <c r="E612" s="21">
        <v>4.88</v>
      </c>
      <c r="F612" s="11" t="s">
        <v>13</v>
      </c>
      <c r="G612" s="11" t="s">
        <v>17</v>
      </c>
      <c r="H612" s="12">
        <v>46630</v>
      </c>
      <c r="I612" s="12"/>
      <c r="J612" s="13"/>
      <c r="K612" t="str">
        <f t="shared" si="9"/>
        <v>DE90-SDR11</v>
      </c>
      <c r="L612" s="1">
        <f>VLOOKUP(K612,'[1]Tarif - Evolution Marché'!$F:$J,5,0)</f>
        <v>4.8776632510288067</v>
      </c>
    </row>
    <row r="613" spans="1:12" x14ac:dyDescent="0.3">
      <c r="A613" s="14" t="s">
        <v>23</v>
      </c>
      <c r="B613" s="15">
        <v>110</v>
      </c>
      <c r="C613" s="15" t="s">
        <v>9</v>
      </c>
      <c r="D613" s="15">
        <v>16</v>
      </c>
      <c r="E613" s="21">
        <v>7.25</v>
      </c>
      <c r="F613" s="15" t="s">
        <v>13</v>
      </c>
      <c r="G613" s="15" t="s">
        <v>17</v>
      </c>
      <c r="H613" s="17">
        <v>46630</v>
      </c>
      <c r="I613" s="17"/>
      <c r="J613" s="18"/>
      <c r="K613" t="str">
        <f t="shared" si="9"/>
        <v>DE110-SDR11</v>
      </c>
      <c r="L613" s="1">
        <f>VLOOKUP(K613,'[1]Tarif - Evolution Marché'!$F:$J,5,0)</f>
        <v>7.248116419753087</v>
      </c>
    </row>
    <row r="614" spans="1:12" x14ac:dyDescent="0.3">
      <c r="A614" s="8" t="s">
        <v>23</v>
      </c>
      <c r="B614" s="11">
        <v>125</v>
      </c>
      <c r="C614" s="11" t="s">
        <v>9</v>
      </c>
      <c r="D614" s="11">
        <v>16</v>
      </c>
      <c r="E614" s="21">
        <v>9.39</v>
      </c>
      <c r="F614" s="11" t="s">
        <v>13</v>
      </c>
      <c r="G614" s="11" t="s">
        <v>17</v>
      </c>
      <c r="H614" s="12">
        <v>46630</v>
      </c>
      <c r="I614" s="11">
        <v>2400</v>
      </c>
      <c r="J614" s="13">
        <v>2800</v>
      </c>
      <c r="K614" t="str">
        <f t="shared" si="9"/>
        <v>DE125-SDR11</v>
      </c>
      <c r="L614" s="1">
        <f>VLOOKUP(K614,'[1]Tarif - Evolution Marché'!$F:$J,5,0)</f>
        <v>9.3906413991769551</v>
      </c>
    </row>
    <row r="615" spans="1:12" x14ac:dyDescent="0.3">
      <c r="A615" s="14" t="s">
        <v>23</v>
      </c>
      <c r="B615" s="15">
        <v>140</v>
      </c>
      <c r="C615" s="15" t="s">
        <v>9</v>
      </c>
      <c r="D615" s="15">
        <v>16</v>
      </c>
      <c r="E615" s="21">
        <v>11.69</v>
      </c>
      <c r="F615" s="15" t="s">
        <v>13</v>
      </c>
      <c r="G615" s="15" t="s">
        <v>17</v>
      </c>
      <c r="H615" s="17">
        <v>46630</v>
      </c>
      <c r="I615" s="15">
        <v>1920</v>
      </c>
      <c r="J615" s="18">
        <v>2240</v>
      </c>
      <c r="K615" t="str">
        <f t="shared" si="9"/>
        <v>DE140-SDR11</v>
      </c>
      <c r="L615" s="1">
        <f>VLOOKUP(K615,'[1]Tarif - Evolution Marché'!$F:$J,5,0)</f>
        <v>11.69271611111111</v>
      </c>
    </row>
    <row r="616" spans="1:12" x14ac:dyDescent="0.3">
      <c r="A616" s="8" t="s">
        <v>23</v>
      </c>
      <c r="B616" s="11">
        <v>160</v>
      </c>
      <c r="C616" s="11" t="s">
        <v>9</v>
      </c>
      <c r="D616" s="11">
        <v>16</v>
      </c>
      <c r="E616" s="21">
        <v>15.36</v>
      </c>
      <c r="F616" s="11" t="s">
        <v>13</v>
      </c>
      <c r="G616" s="11" t="s">
        <v>17</v>
      </c>
      <c r="H616" s="12">
        <v>46630</v>
      </c>
      <c r="I616" s="11">
        <v>1920</v>
      </c>
      <c r="J616" s="13">
        <v>2240</v>
      </c>
      <c r="K616" t="str">
        <f t="shared" si="9"/>
        <v>DE160-SDR11</v>
      </c>
      <c r="L616" s="1">
        <f>VLOOKUP(K616,'[1]Tarif - Evolution Marché'!$F:$J,5,0)</f>
        <v>15.362359958847737</v>
      </c>
    </row>
    <row r="617" spans="1:12" x14ac:dyDescent="0.3">
      <c r="A617" s="14" t="s">
        <v>23</v>
      </c>
      <c r="B617" s="15">
        <v>180</v>
      </c>
      <c r="C617" s="15" t="s">
        <v>9</v>
      </c>
      <c r="D617" s="15">
        <v>16</v>
      </c>
      <c r="E617" s="21">
        <v>19.399999999999999</v>
      </c>
      <c r="F617" s="15" t="s">
        <v>13</v>
      </c>
      <c r="G617" s="15" t="s">
        <v>17</v>
      </c>
      <c r="H617" s="17">
        <v>46630</v>
      </c>
      <c r="I617" s="15">
        <v>1200</v>
      </c>
      <c r="J617" s="18">
        <v>1400</v>
      </c>
      <c r="K617" t="str">
        <f t="shared" si="9"/>
        <v>DE180-SDR11</v>
      </c>
      <c r="L617" s="1">
        <f>VLOOKUP(K617,'[1]Tarif - Evolution Marché'!$F:$J,5,0)</f>
        <v>19.39668890946502</v>
      </c>
    </row>
    <row r="618" spans="1:12" x14ac:dyDescent="0.3">
      <c r="A618" s="8" t="s">
        <v>23</v>
      </c>
      <c r="B618" s="11">
        <v>200</v>
      </c>
      <c r="C618" s="11" t="s">
        <v>9</v>
      </c>
      <c r="D618" s="11">
        <v>16</v>
      </c>
      <c r="E618" s="21">
        <v>23.93</v>
      </c>
      <c r="F618" s="11" t="s">
        <v>13</v>
      </c>
      <c r="G618" s="11" t="s">
        <v>17</v>
      </c>
      <c r="H618" s="12">
        <v>46630</v>
      </c>
      <c r="I618" s="11">
        <v>960</v>
      </c>
      <c r="J618" s="13">
        <v>1120</v>
      </c>
      <c r="K618" t="str">
        <f t="shared" si="9"/>
        <v>DE200-SDR11</v>
      </c>
      <c r="L618" s="1">
        <f>VLOOKUP(K618,'[1]Tarif - Evolution Marché'!$F:$J,5,0)</f>
        <v>23.932459876543209</v>
      </c>
    </row>
    <row r="619" spans="1:12" x14ac:dyDescent="0.3">
      <c r="A619" s="14" t="s">
        <v>23</v>
      </c>
      <c r="B619" s="15">
        <v>225</v>
      </c>
      <c r="C619" s="15" t="s">
        <v>9</v>
      </c>
      <c r="D619" s="15">
        <v>16</v>
      </c>
      <c r="E619" s="21">
        <v>30.31</v>
      </c>
      <c r="F619" s="15" t="s">
        <v>13</v>
      </c>
      <c r="G619" s="15" t="s">
        <v>17</v>
      </c>
      <c r="H619" s="17">
        <v>46630</v>
      </c>
      <c r="I619" s="15">
        <v>960</v>
      </c>
      <c r="J619" s="18">
        <v>1120</v>
      </c>
      <c r="K619" t="str">
        <f t="shared" si="9"/>
        <v>DE225-SDR11</v>
      </c>
      <c r="L619" s="1">
        <f>VLOOKUP(K619,'[1]Tarif - Evolution Marché'!$F:$J,5,0)</f>
        <v>30.314449176954735</v>
      </c>
    </row>
    <row r="620" spans="1:12" x14ac:dyDescent="0.3">
      <c r="A620" s="8" t="s">
        <v>23</v>
      </c>
      <c r="B620" s="11">
        <v>250</v>
      </c>
      <c r="C620" s="11" t="s">
        <v>9</v>
      </c>
      <c r="D620" s="11">
        <v>16</v>
      </c>
      <c r="E620" s="21">
        <v>37.15</v>
      </c>
      <c r="F620" s="11" t="s">
        <v>13</v>
      </c>
      <c r="G620" s="11" t="s">
        <v>17</v>
      </c>
      <c r="H620" s="12">
        <v>46630</v>
      </c>
      <c r="I620" s="11">
        <v>672</v>
      </c>
      <c r="J620" s="13">
        <v>784</v>
      </c>
      <c r="K620" t="str">
        <f t="shared" si="9"/>
        <v>DE250-SDR11</v>
      </c>
      <c r="L620" s="1">
        <f>VLOOKUP(K620,'[1]Tarif - Evolution Marché'!$F:$J,5,0)</f>
        <v>37.152294855967078</v>
      </c>
    </row>
    <row r="621" spans="1:12" x14ac:dyDescent="0.3">
      <c r="A621" s="14" t="s">
        <v>23</v>
      </c>
      <c r="B621" s="15">
        <v>280</v>
      </c>
      <c r="C621" s="15" t="s">
        <v>9</v>
      </c>
      <c r="D621" s="15">
        <v>16</v>
      </c>
      <c r="E621" s="21">
        <v>46.73</v>
      </c>
      <c r="F621" s="15" t="s">
        <v>13</v>
      </c>
      <c r="G621" s="15" t="s">
        <v>17</v>
      </c>
      <c r="H621" s="17">
        <v>46630</v>
      </c>
      <c r="I621" s="15">
        <v>672</v>
      </c>
      <c r="J621" s="18">
        <v>784</v>
      </c>
      <c r="K621" t="str">
        <f t="shared" si="9"/>
        <v>DE280-SDR11</v>
      </c>
      <c r="L621" s="1">
        <f>VLOOKUP(K621,'[1]Tarif - Evolution Marché'!$F:$J,5,0)</f>
        <v>46.725278806584363</v>
      </c>
    </row>
    <row r="622" spans="1:12" x14ac:dyDescent="0.3">
      <c r="A622" s="8" t="s">
        <v>23</v>
      </c>
      <c r="B622" s="11">
        <v>315</v>
      </c>
      <c r="C622" s="11" t="s">
        <v>9</v>
      </c>
      <c r="D622" s="11">
        <v>16</v>
      </c>
      <c r="E622" s="21">
        <v>59.03</v>
      </c>
      <c r="F622" s="11" t="s">
        <v>13</v>
      </c>
      <c r="G622" s="11" t="s">
        <v>17</v>
      </c>
      <c r="H622" s="12">
        <v>46630</v>
      </c>
      <c r="I622" s="11">
        <v>432</v>
      </c>
      <c r="J622" s="13">
        <v>504</v>
      </c>
      <c r="K622" t="str">
        <f t="shared" si="9"/>
        <v>DE315-SDR11</v>
      </c>
      <c r="L622" s="1">
        <f>VLOOKUP(K622,'[1]Tarif - Evolution Marché'!$F:$J,5,0)</f>
        <v>59.03340102880658</v>
      </c>
    </row>
    <row r="623" spans="1:12" x14ac:dyDescent="0.3">
      <c r="A623" s="14" t="s">
        <v>23</v>
      </c>
      <c r="B623" s="15">
        <v>355</v>
      </c>
      <c r="C623" s="15" t="s">
        <v>9</v>
      </c>
      <c r="D623" s="15">
        <v>16</v>
      </c>
      <c r="E623" s="21">
        <v>74.989999999999995</v>
      </c>
      <c r="F623" s="15" t="s">
        <v>13</v>
      </c>
      <c r="G623" s="15" t="s">
        <v>17</v>
      </c>
      <c r="H623" s="17">
        <v>46630</v>
      </c>
      <c r="I623" s="15">
        <v>360</v>
      </c>
      <c r="J623" s="18">
        <v>420</v>
      </c>
      <c r="K623" t="str">
        <f t="shared" si="9"/>
        <v>DE355-SDR11</v>
      </c>
      <c r="L623" s="1">
        <f>VLOOKUP(K623,'[1]Tarif - Evolution Marché'!$F:$J,5,0)</f>
        <v>74.988374279835384</v>
      </c>
    </row>
    <row r="624" spans="1:12" x14ac:dyDescent="0.3">
      <c r="A624" s="8" t="s">
        <v>23</v>
      </c>
      <c r="B624" s="11">
        <v>400</v>
      </c>
      <c r="C624" s="11" t="s">
        <v>9</v>
      </c>
      <c r="D624" s="11">
        <v>16</v>
      </c>
      <c r="E624" s="21">
        <v>95.05</v>
      </c>
      <c r="F624" s="11" t="s">
        <v>13</v>
      </c>
      <c r="G624" s="11" t="s">
        <v>17</v>
      </c>
      <c r="H624" s="12">
        <v>46630</v>
      </c>
      <c r="I624" s="11">
        <v>360</v>
      </c>
      <c r="J624" s="13">
        <v>420</v>
      </c>
      <c r="K624" t="str">
        <f t="shared" si="9"/>
        <v>DE400-SDR11</v>
      </c>
      <c r="L624" s="1">
        <f>VLOOKUP(K624,'[1]Tarif - Evolution Marché'!$F:$J,5,0)</f>
        <v>95.04605493827161</v>
      </c>
    </row>
    <row r="625" spans="1:12" x14ac:dyDescent="0.3">
      <c r="A625" s="14" t="s">
        <v>23</v>
      </c>
      <c r="B625" s="15">
        <v>450</v>
      </c>
      <c r="C625" s="15" t="s">
        <v>9</v>
      </c>
      <c r="D625" s="15">
        <v>16</v>
      </c>
      <c r="E625" s="21">
        <v>120.35</v>
      </c>
      <c r="F625" s="15" t="s">
        <v>13</v>
      </c>
      <c r="G625" s="15" t="s">
        <v>17</v>
      </c>
      <c r="H625" s="17">
        <v>46630</v>
      </c>
      <c r="I625" s="15">
        <v>192</v>
      </c>
      <c r="J625" s="18">
        <v>224</v>
      </c>
      <c r="K625" t="str">
        <f t="shared" si="9"/>
        <v>DE450-SDR11</v>
      </c>
      <c r="L625" s="1">
        <f>VLOOKUP(K625,'[1]Tarif - Evolution Marché'!$F:$J,5,0)</f>
        <v>120.34608395061727</v>
      </c>
    </row>
    <row r="626" spans="1:12" x14ac:dyDescent="0.3">
      <c r="A626" s="8" t="s">
        <v>23</v>
      </c>
      <c r="B626" s="11">
        <v>500</v>
      </c>
      <c r="C626" s="11" t="s">
        <v>9</v>
      </c>
      <c r="D626" s="11">
        <v>16</v>
      </c>
      <c r="E626" s="21">
        <v>148.61000000000001</v>
      </c>
      <c r="F626" s="11" t="s">
        <v>13</v>
      </c>
      <c r="G626" s="11" t="s">
        <v>17</v>
      </c>
      <c r="H626" s="12">
        <v>46630</v>
      </c>
      <c r="I626" s="11">
        <v>192</v>
      </c>
      <c r="J626" s="13">
        <v>224</v>
      </c>
      <c r="K626" t="str">
        <f t="shared" si="9"/>
        <v>DE500-SDR11</v>
      </c>
      <c r="L626" s="1">
        <f>VLOOKUP(K626,'[1]Tarif - Evolution Marché'!$F:$J,5,0)</f>
        <v>148.60917942386831</v>
      </c>
    </row>
    <row r="627" spans="1:12" x14ac:dyDescent="0.3">
      <c r="A627" s="14" t="s">
        <v>23</v>
      </c>
      <c r="B627" s="15">
        <v>560</v>
      </c>
      <c r="C627" s="15" t="s">
        <v>9</v>
      </c>
      <c r="D627" s="15">
        <v>16</v>
      </c>
      <c r="E627" s="21">
        <v>186.22</v>
      </c>
      <c r="F627" s="15" t="s">
        <v>13</v>
      </c>
      <c r="G627" s="15" t="s">
        <v>17</v>
      </c>
      <c r="H627" s="17">
        <v>46630</v>
      </c>
      <c r="I627" s="15">
        <v>192</v>
      </c>
      <c r="J627" s="18">
        <v>224</v>
      </c>
      <c r="K627" t="str">
        <f t="shared" si="9"/>
        <v>DE560-SDR11</v>
      </c>
      <c r="L627" s="1">
        <f>VLOOKUP(K627,'[1]Tarif - Evolution Marché'!$F:$J,5,0)</f>
        <v>186.21733065843623</v>
      </c>
    </row>
    <row r="628" spans="1:12" x14ac:dyDescent="0.3">
      <c r="A628" s="8" t="s">
        <v>23</v>
      </c>
      <c r="B628" s="11">
        <v>630</v>
      </c>
      <c r="C628" s="11" t="s">
        <v>9</v>
      </c>
      <c r="D628" s="11">
        <v>16</v>
      </c>
      <c r="E628" s="21">
        <v>234.77</v>
      </c>
      <c r="F628" s="11" t="s">
        <v>13</v>
      </c>
      <c r="G628" s="11" t="s">
        <v>17</v>
      </c>
      <c r="H628" s="12">
        <v>46630</v>
      </c>
      <c r="I628" s="11">
        <v>108</v>
      </c>
      <c r="J628" s="13">
        <v>126</v>
      </c>
      <c r="K628" t="str">
        <f t="shared" si="9"/>
        <v>DE630-SDR11</v>
      </c>
      <c r="L628" s="1">
        <f>VLOOKUP(K628,'[1]Tarif - Evolution Marché'!$F:$J,5,0)</f>
        <v>234.76603497942386</v>
      </c>
    </row>
    <row r="629" spans="1:12" x14ac:dyDescent="0.3">
      <c r="A629" s="14" t="s">
        <v>23</v>
      </c>
      <c r="B629" s="15">
        <v>710</v>
      </c>
      <c r="C629" s="15" t="s">
        <v>9</v>
      </c>
      <c r="D629" s="15">
        <v>16</v>
      </c>
      <c r="E629" s="21">
        <v>298.58999999999997</v>
      </c>
      <c r="F629" s="15" t="s">
        <v>13</v>
      </c>
      <c r="G629" s="15" t="s">
        <v>17</v>
      </c>
      <c r="H629" s="17">
        <v>46630</v>
      </c>
      <c r="I629" s="15">
        <v>108</v>
      </c>
      <c r="J629" s="18">
        <v>126</v>
      </c>
      <c r="K629" t="str">
        <f t="shared" si="9"/>
        <v>DE710-SDR11</v>
      </c>
      <c r="L629" s="1">
        <f>VLOOKUP(K629,'[1]Tarif - Evolution Marché'!$F:$J,5,0)</f>
        <v>298.58592798353908</v>
      </c>
    </row>
    <row r="630" spans="1:12" x14ac:dyDescent="0.3">
      <c r="A630" s="8" t="s">
        <v>23</v>
      </c>
      <c r="B630" s="11">
        <v>16</v>
      </c>
      <c r="C630" s="11" t="s">
        <v>10</v>
      </c>
      <c r="D630" s="11">
        <v>20</v>
      </c>
      <c r="E630" s="21">
        <v>0.21</v>
      </c>
      <c r="F630" s="11" t="s">
        <v>13</v>
      </c>
      <c r="G630" s="11" t="s">
        <v>17</v>
      </c>
      <c r="H630" s="12">
        <v>46630</v>
      </c>
      <c r="I630" s="12"/>
      <c r="J630" s="13"/>
      <c r="K630" t="str">
        <f t="shared" si="9"/>
        <v>DE16-SDR9</v>
      </c>
      <c r="L630" s="1">
        <f>VLOOKUP(K630,'[1]Tarif - Evolution Marché'!$F:$J,5,0)</f>
        <v>0.2096939341563786</v>
      </c>
    </row>
    <row r="631" spans="1:12" x14ac:dyDescent="0.3">
      <c r="A631" s="14" t="s">
        <v>23</v>
      </c>
      <c r="B631" s="15">
        <v>20</v>
      </c>
      <c r="C631" s="15" t="s">
        <v>10</v>
      </c>
      <c r="D631" s="15">
        <v>20</v>
      </c>
      <c r="E631" s="21">
        <v>0.31</v>
      </c>
      <c r="F631" s="15" t="s">
        <v>13</v>
      </c>
      <c r="G631" s="15" t="s">
        <v>17</v>
      </c>
      <c r="H631" s="17">
        <v>46630</v>
      </c>
      <c r="I631" s="17"/>
      <c r="J631" s="18"/>
      <c r="K631" t="str">
        <f t="shared" si="9"/>
        <v>DE20-SDR9</v>
      </c>
      <c r="L631" s="1">
        <f>VLOOKUP(K631,'[1]Tarif - Evolution Marché'!$F:$J,5,0)</f>
        <v>0.30542377366255147</v>
      </c>
    </row>
    <row r="632" spans="1:12" x14ac:dyDescent="0.3">
      <c r="A632" s="8" t="s">
        <v>23</v>
      </c>
      <c r="B632" s="11">
        <v>25</v>
      </c>
      <c r="C632" s="11" t="s">
        <v>10</v>
      </c>
      <c r="D632" s="11">
        <v>20</v>
      </c>
      <c r="E632" s="21">
        <v>0.46</v>
      </c>
      <c r="F632" s="11" t="s">
        <v>13</v>
      </c>
      <c r="G632" s="11" t="s">
        <v>17</v>
      </c>
      <c r="H632" s="12">
        <v>46630</v>
      </c>
      <c r="I632" s="12"/>
      <c r="J632" s="13"/>
      <c r="K632" t="str">
        <f t="shared" si="9"/>
        <v>DE25-SDR9</v>
      </c>
      <c r="L632" s="1">
        <f>VLOOKUP(K632,'[1]Tarif - Evolution Marché'!$F:$J,5,0)</f>
        <v>0.46041494238683128</v>
      </c>
    </row>
    <row r="633" spans="1:12" x14ac:dyDescent="0.3">
      <c r="A633" s="14" t="s">
        <v>23</v>
      </c>
      <c r="B633" s="15">
        <v>32</v>
      </c>
      <c r="C633" s="15" t="s">
        <v>10</v>
      </c>
      <c r="D633" s="15">
        <v>20</v>
      </c>
      <c r="E633" s="21">
        <v>0.75</v>
      </c>
      <c r="F633" s="15" t="s">
        <v>13</v>
      </c>
      <c r="G633" s="15" t="s">
        <v>17</v>
      </c>
      <c r="H633" s="17">
        <v>46630</v>
      </c>
      <c r="I633" s="17"/>
      <c r="J633" s="18"/>
      <c r="K633" t="str">
        <f t="shared" si="9"/>
        <v>DE32-SDR9</v>
      </c>
      <c r="L633" s="1">
        <f>VLOOKUP(K633,'[1]Tarif - Evolution Marché'!$F:$J,5,0)</f>
        <v>0.75444230658436218</v>
      </c>
    </row>
    <row r="634" spans="1:12" x14ac:dyDescent="0.3">
      <c r="A634" s="8" t="s">
        <v>23</v>
      </c>
      <c r="B634" s="11">
        <v>40</v>
      </c>
      <c r="C634" s="11" t="s">
        <v>10</v>
      </c>
      <c r="D634" s="11">
        <v>20</v>
      </c>
      <c r="E634" s="21">
        <v>1.17</v>
      </c>
      <c r="F634" s="11" t="s">
        <v>13</v>
      </c>
      <c r="G634" s="11" t="s">
        <v>17</v>
      </c>
      <c r="H634" s="12">
        <v>46630</v>
      </c>
      <c r="I634" s="12"/>
      <c r="J634" s="13"/>
      <c r="K634" t="str">
        <f t="shared" si="9"/>
        <v>DE40-SDR9</v>
      </c>
      <c r="L634" s="1">
        <f>VLOOKUP(K634,'[1]Tarif - Evolution Marché'!$F:$J,5,0)</f>
        <v>1.1715508930041152</v>
      </c>
    </row>
    <row r="635" spans="1:12" x14ac:dyDescent="0.3">
      <c r="A635" s="14" t="s">
        <v>23</v>
      </c>
      <c r="B635" s="15">
        <v>50</v>
      </c>
      <c r="C635" s="15" t="s">
        <v>10</v>
      </c>
      <c r="D635" s="15">
        <v>20</v>
      </c>
      <c r="E635" s="21">
        <v>1.81</v>
      </c>
      <c r="F635" s="15" t="s">
        <v>13</v>
      </c>
      <c r="G635" s="15" t="s">
        <v>17</v>
      </c>
      <c r="H635" s="17">
        <v>46630</v>
      </c>
      <c r="I635" s="17"/>
      <c r="J635" s="18"/>
      <c r="K635" t="str">
        <f t="shared" si="9"/>
        <v>DE50-SDR9</v>
      </c>
      <c r="L635" s="1">
        <f>VLOOKUP(K635,'[1]Tarif - Evolution Marché'!$F:$J,5,0)</f>
        <v>1.8143083868312757</v>
      </c>
    </row>
    <row r="636" spans="1:12" x14ac:dyDescent="0.3">
      <c r="A636" s="8" t="s">
        <v>23</v>
      </c>
      <c r="B636" s="11">
        <v>63</v>
      </c>
      <c r="C636" s="11" t="s">
        <v>10</v>
      </c>
      <c r="D636" s="11">
        <v>20</v>
      </c>
      <c r="E636" s="21">
        <v>2.89</v>
      </c>
      <c r="F636" s="11" t="s">
        <v>13</v>
      </c>
      <c r="G636" s="11" t="s">
        <v>17</v>
      </c>
      <c r="H636" s="12">
        <v>46630</v>
      </c>
      <c r="I636" s="12"/>
      <c r="J636" s="13"/>
      <c r="K636" t="str">
        <f t="shared" si="9"/>
        <v>DE63-SDR9</v>
      </c>
      <c r="L636" s="1">
        <f>VLOOKUP(K636,'[1]Tarif - Evolution Marché'!$F:$J,5,0)</f>
        <v>2.8946880041152263</v>
      </c>
    </row>
    <row r="637" spans="1:12" x14ac:dyDescent="0.3">
      <c r="A637" s="14" t="s">
        <v>23</v>
      </c>
      <c r="B637" s="15">
        <v>75</v>
      </c>
      <c r="C637" s="15" t="s">
        <v>10</v>
      </c>
      <c r="D637" s="15">
        <v>20</v>
      </c>
      <c r="E637" s="21">
        <v>4.0599999999999996</v>
      </c>
      <c r="F637" s="15" t="s">
        <v>13</v>
      </c>
      <c r="G637" s="15" t="s">
        <v>17</v>
      </c>
      <c r="H637" s="17">
        <v>46630</v>
      </c>
      <c r="I637" s="17"/>
      <c r="J637" s="18"/>
      <c r="K637" t="str">
        <f t="shared" si="9"/>
        <v>DE75-SDR9</v>
      </c>
      <c r="L637" s="1">
        <f>VLOOKUP(K637,'[1]Tarif - Evolution Marché'!$F:$J,5,0)</f>
        <v>4.057121769547325</v>
      </c>
    </row>
    <row r="638" spans="1:12" x14ac:dyDescent="0.3">
      <c r="A638" s="8" t="s">
        <v>23</v>
      </c>
      <c r="B638" s="11">
        <v>90</v>
      </c>
      <c r="C638" s="11" t="s">
        <v>10</v>
      </c>
      <c r="D638" s="11">
        <v>20</v>
      </c>
      <c r="E638" s="21">
        <v>5.86</v>
      </c>
      <c r="F638" s="11" t="s">
        <v>13</v>
      </c>
      <c r="G638" s="11" t="s">
        <v>17</v>
      </c>
      <c r="H638" s="12">
        <v>46630</v>
      </c>
      <c r="I638" s="12"/>
      <c r="J638" s="13"/>
      <c r="K638" t="str">
        <f t="shared" si="9"/>
        <v>DE90-SDR9</v>
      </c>
      <c r="L638" s="1">
        <f>VLOOKUP(K638,'[1]Tarif - Evolution Marché'!$F:$J,5,0)</f>
        <v>5.8577544650205757</v>
      </c>
    </row>
    <row r="639" spans="1:12" x14ac:dyDescent="0.3">
      <c r="A639" s="14" t="s">
        <v>23</v>
      </c>
      <c r="B639" s="15">
        <v>110</v>
      </c>
      <c r="C639" s="15" t="s">
        <v>10</v>
      </c>
      <c r="D639" s="15">
        <v>20</v>
      </c>
      <c r="E639" s="21">
        <v>8.7100000000000009</v>
      </c>
      <c r="F639" s="15" t="s">
        <v>13</v>
      </c>
      <c r="G639" s="15" t="s">
        <v>17</v>
      </c>
      <c r="H639" s="17">
        <v>46630</v>
      </c>
      <c r="I639" s="17"/>
      <c r="J639" s="18"/>
      <c r="K639" t="str">
        <f t="shared" si="9"/>
        <v>DE110-SDR9</v>
      </c>
      <c r="L639" s="1">
        <f>VLOOKUP(K639,'[1]Tarif - Evolution Marché'!$F:$J,5,0)</f>
        <v>8.7068568312757204</v>
      </c>
    </row>
    <row r="640" spans="1:12" x14ac:dyDescent="0.3">
      <c r="A640" s="8" t="s">
        <v>23</v>
      </c>
      <c r="B640" s="11">
        <v>125</v>
      </c>
      <c r="C640" s="11" t="s">
        <v>10</v>
      </c>
      <c r="D640" s="11">
        <v>20</v>
      </c>
      <c r="E640" s="21">
        <v>11.21</v>
      </c>
      <c r="F640" s="11" t="s">
        <v>13</v>
      </c>
      <c r="G640" s="11" t="s">
        <v>17</v>
      </c>
      <c r="H640" s="12">
        <v>46630</v>
      </c>
      <c r="I640" s="11">
        <v>2400</v>
      </c>
      <c r="J640" s="13">
        <v>2800</v>
      </c>
      <c r="K640" t="str">
        <f t="shared" si="9"/>
        <v>DE125-SDR9</v>
      </c>
      <c r="L640" s="1">
        <f>VLOOKUP(K640,'[1]Tarif - Evolution Marché'!$F:$J,5,0)</f>
        <v>11.214066913580247</v>
      </c>
    </row>
    <row r="641" spans="1:12" x14ac:dyDescent="0.3">
      <c r="A641" s="14" t="s">
        <v>23</v>
      </c>
      <c r="B641" s="15">
        <v>140</v>
      </c>
      <c r="C641" s="15" t="s">
        <v>10</v>
      </c>
      <c r="D641" s="15">
        <v>20</v>
      </c>
      <c r="E641" s="21">
        <v>14.09</v>
      </c>
      <c r="F641" s="15" t="s">
        <v>13</v>
      </c>
      <c r="G641" s="15" t="s">
        <v>17</v>
      </c>
      <c r="H641" s="17">
        <v>46630</v>
      </c>
      <c r="I641" s="15">
        <v>1920</v>
      </c>
      <c r="J641" s="18">
        <v>2240</v>
      </c>
      <c r="K641" t="str">
        <f t="shared" si="9"/>
        <v>DE140-SDR9</v>
      </c>
      <c r="L641" s="1">
        <f>VLOOKUP(K641,'[1]Tarif - Evolution Marché'!$F:$J,5,0)</f>
        <v>14.085962098765432</v>
      </c>
    </row>
    <row r="642" spans="1:12" x14ac:dyDescent="0.3">
      <c r="A642" s="8" t="s">
        <v>23</v>
      </c>
      <c r="B642" s="11">
        <v>160</v>
      </c>
      <c r="C642" s="11" t="s">
        <v>10</v>
      </c>
      <c r="D642" s="11">
        <v>20</v>
      </c>
      <c r="E642" s="21">
        <v>18.329999999999998</v>
      </c>
      <c r="F642" s="11" t="s">
        <v>13</v>
      </c>
      <c r="G642" s="11" t="s">
        <v>17</v>
      </c>
      <c r="H642" s="12">
        <v>46630</v>
      </c>
      <c r="I642" s="11">
        <v>1920</v>
      </c>
      <c r="J642" s="13">
        <v>2240</v>
      </c>
      <c r="K642" t="str">
        <f t="shared" si="9"/>
        <v>DE160-SDR9</v>
      </c>
      <c r="L642" s="1">
        <f>VLOOKUP(K642,'[1]Tarif - Evolution Marché'!$F:$J,5,0)</f>
        <v>18.325426419753086</v>
      </c>
    </row>
    <row r="643" spans="1:12" x14ac:dyDescent="0.3">
      <c r="A643" s="14" t="s">
        <v>23</v>
      </c>
      <c r="B643" s="15">
        <v>180</v>
      </c>
      <c r="C643" s="15" t="s">
        <v>10</v>
      </c>
      <c r="D643" s="15">
        <v>20</v>
      </c>
      <c r="E643" s="21">
        <v>23.25</v>
      </c>
      <c r="F643" s="15" t="s">
        <v>13</v>
      </c>
      <c r="G643" s="15" t="s">
        <v>17</v>
      </c>
      <c r="H643" s="17">
        <v>46630</v>
      </c>
      <c r="I643" s="15">
        <v>1200</v>
      </c>
      <c r="J643" s="18">
        <v>1400</v>
      </c>
      <c r="K643" t="str">
        <f t="shared" ref="K643:K706" si="10">CONCATENATE("DE",B643,"-",C643)</f>
        <v>DE180-SDR9</v>
      </c>
      <c r="L643" s="1">
        <f>VLOOKUP(K643,'[1]Tarif - Evolution Marché'!$F:$J,5,0)</f>
        <v>23.248675308641975</v>
      </c>
    </row>
    <row r="644" spans="1:12" x14ac:dyDescent="0.3">
      <c r="A644" s="8" t="s">
        <v>23</v>
      </c>
      <c r="B644" s="11">
        <v>200</v>
      </c>
      <c r="C644" s="11" t="s">
        <v>10</v>
      </c>
      <c r="D644" s="11">
        <v>20</v>
      </c>
      <c r="E644" s="21">
        <v>28.72</v>
      </c>
      <c r="F644" s="11" t="s">
        <v>13</v>
      </c>
      <c r="G644" s="11" t="s">
        <v>17</v>
      </c>
      <c r="H644" s="12">
        <v>46630</v>
      </c>
      <c r="I644" s="11">
        <v>960</v>
      </c>
      <c r="J644" s="13">
        <v>1120</v>
      </c>
      <c r="K644" t="str">
        <f t="shared" si="10"/>
        <v>DE200-SDR9</v>
      </c>
      <c r="L644" s="1">
        <f>VLOOKUP(K644,'[1]Tarif - Evolution Marché'!$F:$J,5,0)</f>
        <v>28.718951851851852</v>
      </c>
    </row>
    <row r="645" spans="1:12" x14ac:dyDescent="0.3">
      <c r="A645" s="14" t="s">
        <v>23</v>
      </c>
      <c r="B645" s="15">
        <v>225</v>
      </c>
      <c r="C645" s="15" t="s">
        <v>10</v>
      </c>
      <c r="D645" s="15">
        <v>20</v>
      </c>
      <c r="E645" s="21">
        <v>36.24</v>
      </c>
      <c r="F645" s="15" t="s">
        <v>13</v>
      </c>
      <c r="G645" s="15" t="s">
        <v>17</v>
      </c>
      <c r="H645" s="17">
        <v>46630</v>
      </c>
      <c r="I645" s="15">
        <v>960</v>
      </c>
      <c r="J645" s="18">
        <v>1120</v>
      </c>
      <c r="K645" t="str">
        <f t="shared" si="10"/>
        <v>DE225-SDR9</v>
      </c>
      <c r="L645" s="1">
        <f>VLOOKUP(K645,'[1]Tarif - Evolution Marché'!$F:$J,5,0)</f>
        <v>36.240582098765429</v>
      </c>
    </row>
    <row r="646" spans="1:12" x14ac:dyDescent="0.3">
      <c r="A646" s="8" t="s">
        <v>23</v>
      </c>
      <c r="B646" s="11">
        <v>250</v>
      </c>
      <c r="C646" s="11" t="s">
        <v>10</v>
      </c>
      <c r="D646" s="11">
        <v>20</v>
      </c>
      <c r="E646" s="21">
        <v>44.67</v>
      </c>
      <c r="F646" s="11" t="s">
        <v>13</v>
      </c>
      <c r="G646" s="11" t="s">
        <v>17</v>
      </c>
      <c r="H646" s="12">
        <v>46630</v>
      </c>
      <c r="I646" s="11">
        <v>672</v>
      </c>
      <c r="J646" s="13">
        <v>784</v>
      </c>
      <c r="K646" t="str">
        <f t="shared" si="10"/>
        <v>DE250-SDR9</v>
      </c>
      <c r="L646" s="1">
        <f>VLOOKUP(K646,'[1]Tarif - Evolution Marché'!$F:$J,5,0)</f>
        <v>44.673925102880659</v>
      </c>
    </row>
    <row r="647" spans="1:12" x14ac:dyDescent="0.3">
      <c r="A647" s="14" t="s">
        <v>23</v>
      </c>
      <c r="B647" s="15">
        <v>280</v>
      </c>
      <c r="C647" s="15" t="s">
        <v>10</v>
      </c>
      <c r="D647" s="15">
        <v>20</v>
      </c>
      <c r="E647" s="21">
        <v>56.07</v>
      </c>
      <c r="F647" s="15" t="s">
        <v>13</v>
      </c>
      <c r="G647" s="15" t="s">
        <v>17</v>
      </c>
      <c r="H647" s="17">
        <v>46630</v>
      </c>
      <c r="I647" s="15">
        <v>672</v>
      </c>
      <c r="J647" s="18">
        <v>784</v>
      </c>
      <c r="K647" t="str">
        <f t="shared" si="10"/>
        <v>DE280-SDR9</v>
      </c>
      <c r="L647" s="1">
        <f>VLOOKUP(K647,'[1]Tarif - Evolution Marché'!$F:$J,5,0)</f>
        <v>56.070334567901234</v>
      </c>
    </row>
    <row r="648" spans="1:12" x14ac:dyDescent="0.3">
      <c r="A648" s="8" t="s">
        <v>23</v>
      </c>
      <c r="B648" s="11">
        <v>315</v>
      </c>
      <c r="C648" s="11" t="s">
        <v>10</v>
      </c>
      <c r="D648" s="11">
        <v>20</v>
      </c>
      <c r="E648" s="21">
        <v>70.89</v>
      </c>
      <c r="F648" s="11" t="s">
        <v>13</v>
      </c>
      <c r="G648" s="11" t="s">
        <v>17</v>
      </c>
      <c r="H648" s="12">
        <v>46630</v>
      </c>
      <c r="I648" s="11">
        <v>432</v>
      </c>
      <c r="J648" s="13">
        <v>504</v>
      </c>
      <c r="K648" t="str">
        <f t="shared" si="10"/>
        <v>DE315-SDR9</v>
      </c>
      <c r="L648" s="1">
        <f>VLOOKUP(K648,'[1]Tarif - Evolution Marché'!$F:$J,5,0)</f>
        <v>70.88566687242799</v>
      </c>
    </row>
    <row r="649" spans="1:12" x14ac:dyDescent="0.3">
      <c r="A649" s="14" t="s">
        <v>23</v>
      </c>
      <c r="B649" s="15">
        <v>355</v>
      </c>
      <c r="C649" s="15" t="s">
        <v>10</v>
      </c>
      <c r="D649" s="15">
        <v>20</v>
      </c>
      <c r="E649" s="21">
        <v>90.03</v>
      </c>
      <c r="F649" s="15" t="s">
        <v>13</v>
      </c>
      <c r="G649" s="15" t="s">
        <v>17</v>
      </c>
      <c r="H649" s="17">
        <v>46630</v>
      </c>
      <c r="I649" s="15">
        <v>360</v>
      </c>
      <c r="J649" s="18">
        <v>420</v>
      </c>
      <c r="K649" t="str">
        <f t="shared" si="10"/>
        <v>DE355-SDR9</v>
      </c>
      <c r="L649" s="1">
        <f>VLOOKUP(K649,'[1]Tarif - Evolution Marché'!$F:$J,5,0)</f>
        <v>90.031634773662546</v>
      </c>
    </row>
    <row r="650" spans="1:12" x14ac:dyDescent="0.3">
      <c r="A650" s="8" t="s">
        <v>23</v>
      </c>
      <c r="B650" s="11">
        <v>400</v>
      </c>
      <c r="C650" s="11" t="s">
        <v>10</v>
      </c>
      <c r="D650" s="11">
        <v>20</v>
      </c>
      <c r="E650" s="21">
        <v>114.19</v>
      </c>
      <c r="F650" s="11" t="s">
        <v>13</v>
      </c>
      <c r="G650" s="11" t="s">
        <v>17</v>
      </c>
      <c r="H650" s="12">
        <v>46630</v>
      </c>
      <c r="I650" s="11">
        <v>360</v>
      </c>
      <c r="J650" s="13">
        <v>420</v>
      </c>
      <c r="K650" t="str">
        <f t="shared" si="10"/>
        <v>DE400-SDR9</v>
      </c>
      <c r="L650" s="1">
        <f>VLOOKUP(K650,'[1]Tarif - Evolution Marché'!$F:$J,5,0)</f>
        <v>114.19202283950618</v>
      </c>
    </row>
    <row r="651" spans="1:12" x14ac:dyDescent="0.3">
      <c r="A651" s="14" t="s">
        <v>23</v>
      </c>
      <c r="B651" s="15">
        <v>450</v>
      </c>
      <c r="C651" s="15" t="s">
        <v>10</v>
      </c>
      <c r="D651" s="15">
        <v>20</v>
      </c>
      <c r="E651" s="21">
        <v>144.51</v>
      </c>
      <c r="F651" s="15" t="s">
        <v>13</v>
      </c>
      <c r="G651" s="15" t="s">
        <v>17</v>
      </c>
      <c r="H651" s="17">
        <v>46630</v>
      </c>
      <c r="I651" s="15">
        <v>192</v>
      </c>
      <c r="J651" s="18">
        <v>224</v>
      </c>
      <c r="K651" t="str">
        <f t="shared" si="10"/>
        <v>DE450-SDR9</v>
      </c>
      <c r="L651" s="1">
        <f>VLOOKUP(K651,'[1]Tarif - Evolution Marché'!$F:$J,5,0)</f>
        <v>144.50647201646089</v>
      </c>
    </row>
    <row r="652" spans="1:12" x14ac:dyDescent="0.3">
      <c r="A652" s="8" t="s">
        <v>23</v>
      </c>
      <c r="B652" s="11">
        <v>500</v>
      </c>
      <c r="C652" s="11" t="s">
        <v>10</v>
      </c>
      <c r="D652" s="11">
        <v>20</v>
      </c>
      <c r="E652" s="21">
        <v>178.01</v>
      </c>
      <c r="F652" s="11" t="s">
        <v>13</v>
      </c>
      <c r="G652" s="11" t="s">
        <v>17</v>
      </c>
      <c r="H652" s="12">
        <v>46630</v>
      </c>
      <c r="I652" s="11">
        <v>192</v>
      </c>
      <c r="J652" s="13">
        <v>224</v>
      </c>
      <c r="K652" t="str">
        <f t="shared" si="10"/>
        <v>DE500-SDR9</v>
      </c>
      <c r="L652" s="1">
        <f>VLOOKUP(K652,'[1]Tarif - Evolution Marché'!$F:$J,5,0)</f>
        <v>178.01191584362138</v>
      </c>
    </row>
    <row r="653" spans="1:12" x14ac:dyDescent="0.3">
      <c r="A653" s="14" t="s">
        <v>23</v>
      </c>
      <c r="B653" s="15">
        <v>560</v>
      </c>
      <c r="C653" s="15" t="s">
        <v>10</v>
      </c>
      <c r="D653" s="15">
        <v>20</v>
      </c>
      <c r="E653" s="21">
        <v>223.37</v>
      </c>
      <c r="F653" s="15" t="s">
        <v>13</v>
      </c>
      <c r="G653" s="15" t="s">
        <v>17</v>
      </c>
      <c r="H653" s="17">
        <v>46630</v>
      </c>
      <c r="I653" s="15">
        <v>192</v>
      </c>
      <c r="J653" s="18">
        <v>224</v>
      </c>
      <c r="K653" t="str">
        <f t="shared" si="10"/>
        <v>DE560-SDR9</v>
      </c>
      <c r="L653" s="1">
        <f>VLOOKUP(K653,'[1]Tarif - Evolution Marché'!$F:$J,5,0)</f>
        <v>223.36962551440328</v>
      </c>
    </row>
    <row r="654" spans="1:12" x14ac:dyDescent="0.3">
      <c r="A654" s="8" t="s">
        <v>23</v>
      </c>
      <c r="B654" s="11">
        <v>16</v>
      </c>
      <c r="C654" s="11" t="s">
        <v>11</v>
      </c>
      <c r="D654" s="11">
        <v>25</v>
      </c>
      <c r="E654" s="21">
        <v>0.23</v>
      </c>
      <c r="F654" s="11" t="s">
        <v>13</v>
      </c>
      <c r="G654" s="11" t="s">
        <v>17</v>
      </c>
      <c r="H654" s="12">
        <v>46630</v>
      </c>
      <c r="I654" s="12"/>
      <c r="J654" s="13"/>
      <c r="K654" t="str">
        <f t="shared" si="10"/>
        <v>DE16-SDR7,4</v>
      </c>
      <c r="L654" s="1">
        <f>VLOOKUP(K654,'[1]Tarif - Evolution Marché'!$F:$J,5,0)</f>
        <v>0.23476603497942386</v>
      </c>
    </row>
    <row r="655" spans="1:12" x14ac:dyDescent="0.3">
      <c r="A655" s="14" t="s">
        <v>23</v>
      </c>
      <c r="B655" s="15">
        <v>20</v>
      </c>
      <c r="C655" s="15" t="s">
        <v>11</v>
      </c>
      <c r="D655" s="15">
        <v>25</v>
      </c>
      <c r="E655" s="21">
        <v>0.37</v>
      </c>
      <c r="F655" s="15" t="s">
        <v>13</v>
      </c>
      <c r="G655" s="15" t="s">
        <v>17</v>
      </c>
      <c r="H655" s="17">
        <v>46630</v>
      </c>
      <c r="I655" s="17"/>
      <c r="J655" s="18"/>
      <c r="K655" t="str">
        <f t="shared" si="10"/>
        <v>DE20-SDR7,4</v>
      </c>
      <c r="L655" s="1">
        <f>VLOOKUP(K655,'[1]Tarif - Evolution Marché'!$F:$J,5,0)</f>
        <v>0.37380223045267491</v>
      </c>
    </row>
    <row r="656" spans="1:12" x14ac:dyDescent="0.3">
      <c r="A656" s="8" t="s">
        <v>23</v>
      </c>
      <c r="B656" s="11">
        <v>25</v>
      </c>
      <c r="C656" s="11" t="s">
        <v>11</v>
      </c>
      <c r="D656" s="11">
        <v>25</v>
      </c>
      <c r="E656" s="21">
        <v>0.55000000000000004</v>
      </c>
      <c r="F656" s="11" t="s">
        <v>13</v>
      </c>
      <c r="G656" s="11" t="s">
        <v>17</v>
      </c>
      <c r="H656" s="12">
        <v>46630</v>
      </c>
      <c r="I656" s="12"/>
      <c r="J656" s="13"/>
      <c r="K656" t="str">
        <f t="shared" si="10"/>
        <v>DE25-SDR7,4</v>
      </c>
      <c r="L656" s="1">
        <f>VLOOKUP(K656,'[1]Tarif - Evolution Marché'!$F:$J,5,0)</f>
        <v>0.55386550000000001</v>
      </c>
    </row>
    <row r="657" spans="1:12" x14ac:dyDescent="0.3">
      <c r="A657" s="14" t="s">
        <v>23</v>
      </c>
      <c r="B657" s="15">
        <v>32</v>
      </c>
      <c r="C657" s="15" t="s">
        <v>11</v>
      </c>
      <c r="D657" s="15">
        <v>25</v>
      </c>
      <c r="E657" s="21">
        <v>0.89</v>
      </c>
      <c r="F657" s="15" t="s">
        <v>13</v>
      </c>
      <c r="G657" s="15" t="s">
        <v>17</v>
      </c>
      <c r="H657" s="17">
        <v>46630</v>
      </c>
      <c r="I657" s="17"/>
      <c r="J657" s="18"/>
      <c r="K657" t="str">
        <f t="shared" si="10"/>
        <v>DE32-SDR7,4</v>
      </c>
      <c r="L657" s="1">
        <f>VLOOKUP(K657,'[1]Tarif - Evolution Marché'!$F:$J,5,0)</f>
        <v>0.88891993827160498</v>
      </c>
    </row>
    <row r="658" spans="1:12" x14ac:dyDescent="0.3">
      <c r="A658" s="8" t="s">
        <v>23</v>
      </c>
      <c r="B658" s="11">
        <v>40</v>
      </c>
      <c r="C658" s="11" t="s">
        <v>11</v>
      </c>
      <c r="D658" s="11">
        <v>25</v>
      </c>
      <c r="E658" s="21">
        <v>1.38</v>
      </c>
      <c r="F658" s="11" t="s">
        <v>13</v>
      </c>
      <c r="G658" s="11" t="s">
        <v>17</v>
      </c>
      <c r="H658" s="12">
        <v>46630</v>
      </c>
      <c r="I658" s="12"/>
      <c r="J658" s="13"/>
      <c r="K658" t="str">
        <f t="shared" si="10"/>
        <v>DE40-SDR7,4</v>
      </c>
      <c r="L658" s="1">
        <f>VLOOKUP(K658,'[1]Tarif - Evolution Marché'!$F:$J,5,0)</f>
        <v>1.383524109053498</v>
      </c>
    </row>
    <row r="659" spans="1:12" x14ac:dyDescent="0.3">
      <c r="A659" s="14" t="s">
        <v>23</v>
      </c>
      <c r="B659" s="15">
        <v>50</v>
      </c>
      <c r="C659" s="15" t="s">
        <v>11</v>
      </c>
      <c r="D659" s="15">
        <v>25</v>
      </c>
      <c r="E659" s="21">
        <v>2.15</v>
      </c>
      <c r="F659" s="15" t="s">
        <v>13</v>
      </c>
      <c r="G659" s="15" t="s">
        <v>17</v>
      </c>
      <c r="H659" s="17">
        <v>46630</v>
      </c>
      <c r="I659" s="17"/>
      <c r="J659" s="18"/>
      <c r="K659" t="str">
        <f t="shared" si="10"/>
        <v>DE50-SDR7,4</v>
      </c>
      <c r="L659" s="1">
        <f>VLOOKUP(K659,'[1]Tarif - Evolution Marché'!$F:$J,5,0)</f>
        <v>2.1539213888888886</v>
      </c>
    </row>
    <row r="660" spans="1:12" x14ac:dyDescent="0.3">
      <c r="A660" s="8" t="s">
        <v>23</v>
      </c>
      <c r="B660" s="11">
        <v>63</v>
      </c>
      <c r="C660" s="11" t="s">
        <v>11</v>
      </c>
      <c r="D660" s="11">
        <v>25</v>
      </c>
      <c r="E660" s="21">
        <v>3.4</v>
      </c>
      <c r="F660" s="11" t="s">
        <v>13</v>
      </c>
      <c r="G660" s="11" t="s">
        <v>17</v>
      </c>
      <c r="H660" s="12">
        <v>46630</v>
      </c>
      <c r="I660" s="12"/>
      <c r="J660" s="13"/>
      <c r="K660" t="str">
        <f t="shared" si="10"/>
        <v>DE63-SDR7,4</v>
      </c>
      <c r="L660" s="1">
        <f>VLOOKUP(K660,'[1]Tarif - Evolution Marché'!$F:$J,5,0)</f>
        <v>3.3961300205761318</v>
      </c>
    </row>
    <row r="661" spans="1:12" x14ac:dyDescent="0.3">
      <c r="A661" s="14" t="s">
        <v>23</v>
      </c>
      <c r="B661" s="15">
        <v>75</v>
      </c>
      <c r="C661" s="15" t="s">
        <v>11</v>
      </c>
      <c r="D661" s="15">
        <v>25</v>
      </c>
      <c r="E661" s="21">
        <v>4.83</v>
      </c>
      <c r="F661" s="15" t="s">
        <v>13</v>
      </c>
      <c r="G661" s="15" t="s">
        <v>17</v>
      </c>
      <c r="H661" s="17">
        <v>46630</v>
      </c>
      <c r="I661" s="17"/>
      <c r="J661" s="18"/>
      <c r="K661" t="str">
        <f t="shared" si="10"/>
        <v>DE75-SDR7,4</v>
      </c>
      <c r="L661" s="1">
        <f>VLOOKUP(K661,'[1]Tarif - Evolution Marché'!$F:$J,5,0)</f>
        <v>4.8320776131687246</v>
      </c>
    </row>
    <row r="662" spans="1:12" x14ac:dyDescent="0.3">
      <c r="A662" s="8" t="s">
        <v>23</v>
      </c>
      <c r="B662" s="11">
        <v>90</v>
      </c>
      <c r="C662" s="11" t="s">
        <v>11</v>
      </c>
      <c r="D662" s="11">
        <v>25</v>
      </c>
      <c r="E662" s="21">
        <v>6.91</v>
      </c>
      <c r="F662" s="11" t="s">
        <v>13</v>
      </c>
      <c r="G662" s="11" t="s">
        <v>17</v>
      </c>
      <c r="H662" s="12">
        <v>46630</v>
      </c>
      <c r="I662" s="12"/>
      <c r="J662" s="13"/>
      <c r="K662" t="str">
        <f t="shared" si="10"/>
        <v>DE90-SDR7,4</v>
      </c>
      <c r="L662" s="1">
        <f>VLOOKUP(K662,'[1]Tarif - Evolution Marché'!$F:$J,5,0)</f>
        <v>6.9062241358024687</v>
      </c>
    </row>
    <row r="663" spans="1:12" x14ac:dyDescent="0.3">
      <c r="A663" s="14" t="s">
        <v>23</v>
      </c>
      <c r="B663" s="15">
        <v>110</v>
      </c>
      <c r="C663" s="15" t="s">
        <v>11</v>
      </c>
      <c r="D663" s="15">
        <v>25</v>
      </c>
      <c r="E663" s="21">
        <v>10.35</v>
      </c>
      <c r="F663" s="15" t="s">
        <v>13</v>
      </c>
      <c r="G663" s="15" t="s">
        <v>17</v>
      </c>
      <c r="H663" s="17">
        <v>46630</v>
      </c>
      <c r="I663" s="17"/>
      <c r="J663" s="18"/>
      <c r="K663" t="str">
        <f t="shared" si="10"/>
        <v>DE110-SDR7,4</v>
      </c>
      <c r="L663" s="1">
        <f>VLOOKUP(K663,'[1]Tarif - Evolution Marché'!$F:$J,5,0)</f>
        <v>10.347939794238684</v>
      </c>
    </row>
    <row r="664" spans="1:12" x14ac:dyDescent="0.3">
      <c r="A664" s="8" t="s">
        <v>23</v>
      </c>
      <c r="B664" s="11">
        <v>125</v>
      </c>
      <c r="C664" s="11" t="s">
        <v>11</v>
      </c>
      <c r="D664" s="11">
        <v>25</v>
      </c>
      <c r="E664" s="21">
        <v>13.31</v>
      </c>
      <c r="F664" s="11" t="s">
        <v>13</v>
      </c>
      <c r="G664" s="11" t="s">
        <v>17</v>
      </c>
      <c r="H664" s="12">
        <v>46630</v>
      </c>
      <c r="I664" s="11">
        <v>2400</v>
      </c>
      <c r="J664" s="13">
        <v>2800</v>
      </c>
      <c r="K664" t="str">
        <f t="shared" si="10"/>
        <v>DE125-SDR7,4</v>
      </c>
      <c r="L664" s="1">
        <f>VLOOKUP(K664,'[1]Tarif - Evolution Marché'!$F:$J,5,0)</f>
        <v>13.311006255144033</v>
      </c>
    </row>
    <row r="665" spans="1:12" x14ac:dyDescent="0.3">
      <c r="A665" s="14" t="s">
        <v>23</v>
      </c>
      <c r="B665" s="15">
        <v>140</v>
      </c>
      <c r="C665" s="15" t="s">
        <v>11</v>
      </c>
      <c r="D665" s="15">
        <v>25</v>
      </c>
      <c r="E665" s="21">
        <v>16.71</v>
      </c>
      <c r="F665" s="15" t="s">
        <v>13</v>
      </c>
      <c r="G665" s="15" t="s">
        <v>17</v>
      </c>
      <c r="H665" s="17">
        <v>46630</v>
      </c>
      <c r="I665" s="15">
        <v>1920</v>
      </c>
      <c r="J665" s="18">
        <v>2240</v>
      </c>
      <c r="K665" t="str">
        <f t="shared" si="10"/>
        <v>DE140-SDR7,4</v>
      </c>
      <c r="L665" s="1">
        <f>VLOOKUP(K665,'[1]Tarif - Evolution Marché'!$F:$J,5,0)</f>
        <v>16.707136275720163</v>
      </c>
    </row>
    <row r="666" spans="1:12" x14ac:dyDescent="0.3">
      <c r="A666" s="8" t="s">
        <v>23</v>
      </c>
      <c r="B666" s="11">
        <v>160</v>
      </c>
      <c r="C666" s="11" t="s">
        <v>11</v>
      </c>
      <c r="D666" s="11">
        <v>25</v>
      </c>
      <c r="E666" s="21">
        <v>21.74</v>
      </c>
      <c r="F666" s="11" t="s">
        <v>13</v>
      </c>
      <c r="G666" s="11" t="s">
        <v>17</v>
      </c>
      <c r="H666" s="12">
        <v>46630</v>
      </c>
      <c r="I666" s="11">
        <v>1920</v>
      </c>
      <c r="J666" s="13">
        <v>2240</v>
      </c>
      <c r="K666" t="str">
        <f t="shared" si="10"/>
        <v>DE160-SDR7,4</v>
      </c>
      <c r="L666" s="1">
        <f>VLOOKUP(K666,'[1]Tarif - Evolution Marché'!$F:$J,5,0)</f>
        <v>21.744349259259256</v>
      </c>
    </row>
    <row r="667" spans="1:12" x14ac:dyDescent="0.3">
      <c r="A667" s="14" t="s">
        <v>23</v>
      </c>
      <c r="B667" s="15">
        <v>180</v>
      </c>
      <c r="C667" s="15" t="s">
        <v>11</v>
      </c>
      <c r="D667" s="15">
        <v>25</v>
      </c>
      <c r="E667" s="21">
        <v>27.58</v>
      </c>
      <c r="F667" s="15" t="s">
        <v>13</v>
      </c>
      <c r="G667" s="15" t="s">
        <v>17</v>
      </c>
      <c r="H667" s="17">
        <v>46630</v>
      </c>
      <c r="I667" s="15">
        <v>1200</v>
      </c>
      <c r="J667" s="18">
        <v>1400</v>
      </c>
      <c r="K667" t="str">
        <f t="shared" si="10"/>
        <v>DE180-SDR7,4</v>
      </c>
      <c r="L667" s="1">
        <f>VLOOKUP(K667,'[1]Tarif - Evolution Marché'!$F:$J,5,0)</f>
        <v>27.579310905349793</v>
      </c>
    </row>
    <row r="668" spans="1:12" x14ac:dyDescent="0.3">
      <c r="A668" s="8" t="s">
        <v>23</v>
      </c>
      <c r="B668" s="11">
        <v>200</v>
      </c>
      <c r="C668" s="11" t="s">
        <v>11</v>
      </c>
      <c r="D668" s="11">
        <v>25</v>
      </c>
      <c r="E668" s="21">
        <v>33.96</v>
      </c>
      <c r="F668" s="11" t="s">
        <v>13</v>
      </c>
      <c r="G668" s="11" t="s">
        <v>17</v>
      </c>
      <c r="H668" s="12">
        <v>46630</v>
      </c>
      <c r="I668" s="11">
        <v>960</v>
      </c>
      <c r="J668" s="13">
        <v>1120</v>
      </c>
      <c r="K668" t="str">
        <f t="shared" si="10"/>
        <v>DE200-SDR7,4</v>
      </c>
      <c r="L668" s="1">
        <f>VLOOKUP(K668,'[1]Tarif - Evolution Marché'!$F:$J,5,0)</f>
        <v>33.961300205761319</v>
      </c>
    </row>
    <row r="669" spans="1:12" x14ac:dyDescent="0.3">
      <c r="A669" s="14" t="s">
        <v>23</v>
      </c>
      <c r="B669" s="15">
        <v>225</v>
      </c>
      <c r="C669" s="15" t="s">
        <v>11</v>
      </c>
      <c r="D669" s="15">
        <v>25</v>
      </c>
      <c r="E669" s="21">
        <v>42.85</v>
      </c>
      <c r="F669" s="15" t="s">
        <v>13</v>
      </c>
      <c r="G669" s="15" t="s">
        <v>17</v>
      </c>
      <c r="H669" s="17">
        <v>46630</v>
      </c>
      <c r="I669" s="15">
        <v>960</v>
      </c>
      <c r="J669" s="18">
        <v>1120</v>
      </c>
      <c r="K669" t="str">
        <f t="shared" si="10"/>
        <v>DE225-SDR7,4</v>
      </c>
      <c r="L669" s="1">
        <f>VLOOKUP(K669,'[1]Tarif - Evolution Marché'!$F:$J,5,0)</f>
        <v>42.850499588477369</v>
      </c>
    </row>
    <row r="670" spans="1:12" x14ac:dyDescent="0.3">
      <c r="A670" s="8" t="s">
        <v>23</v>
      </c>
      <c r="B670" s="11">
        <v>250</v>
      </c>
      <c r="C670" s="11" t="s">
        <v>11</v>
      </c>
      <c r="D670" s="11">
        <v>25</v>
      </c>
      <c r="E670" s="21">
        <v>53.11</v>
      </c>
      <c r="F670" s="11" t="s">
        <v>13</v>
      </c>
      <c r="G670" s="11" t="s">
        <v>17</v>
      </c>
      <c r="H670" s="12">
        <v>46630</v>
      </c>
      <c r="I670" s="11">
        <v>672</v>
      </c>
      <c r="J670" s="13">
        <v>784</v>
      </c>
      <c r="K670" t="str">
        <f t="shared" si="10"/>
        <v>DE250-SDR7,4</v>
      </c>
      <c r="L670" s="1">
        <f>VLOOKUP(K670,'[1]Tarif - Evolution Marché'!$F:$J,5,0)</f>
        <v>53.107268106995889</v>
      </c>
    </row>
    <row r="671" spans="1:12" x14ac:dyDescent="0.3">
      <c r="A671" s="14" t="s">
        <v>23</v>
      </c>
      <c r="B671" s="15">
        <v>280</v>
      </c>
      <c r="C671" s="15" t="s">
        <v>11</v>
      </c>
      <c r="D671" s="15">
        <v>25</v>
      </c>
      <c r="E671" s="21">
        <v>66.56</v>
      </c>
      <c r="F671" s="15" t="s">
        <v>13</v>
      </c>
      <c r="G671" s="15" t="s">
        <v>17</v>
      </c>
      <c r="H671" s="17">
        <v>46630</v>
      </c>
      <c r="I671" s="15">
        <v>672</v>
      </c>
      <c r="J671" s="18">
        <v>784</v>
      </c>
      <c r="K671" t="str">
        <f t="shared" si="10"/>
        <v>DE280-SDR7,4</v>
      </c>
      <c r="L671" s="1">
        <f>VLOOKUP(K671,'[1]Tarif - Evolution Marché'!$F:$J,5,0)</f>
        <v>66.555031275720168</v>
      </c>
    </row>
    <row r="672" spans="1:12" x14ac:dyDescent="0.3">
      <c r="A672" s="8" t="s">
        <v>23</v>
      </c>
      <c r="B672" s="11">
        <v>315</v>
      </c>
      <c r="C672" s="11" t="s">
        <v>11</v>
      </c>
      <c r="D672" s="11">
        <v>25</v>
      </c>
      <c r="E672" s="21">
        <v>84.11</v>
      </c>
      <c r="F672" s="11" t="s">
        <v>13</v>
      </c>
      <c r="G672" s="11" t="s">
        <v>17</v>
      </c>
      <c r="H672" s="12">
        <v>46630</v>
      </c>
      <c r="I672" s="11">
        <v>432</v>
      </c>
      <c r="J672" s="13">
        <v>504</v>
      </c>
      <c r="K672" t="str">
        <f t="shared" si="10"/>
        <v>DE315-SDR7,4</v>
      </c>
      <c r="L672" s="1">
        <f>VLOOKUP(K672,'[1]Tarif - Evolution Marché'!$F:$J,5,0)</f>
        <v>84.105501851851855</v>
      </c>
    </row>
    <row r="673" spans="1:12" x14ac:dyDescent="0.3">
      <c r="A673" s="14" t="s">
        <v>23</v>
      </c>
      <c r="B673" s="15">
        <v>355</v>
      </c>
      <c r="C673" s="15" t="s">
        <v>11</v>
      </c>
      <c r="D673" s="15">
        <v>25</v>
      </c>
      <c r="E673" s="21">
        <v>106.67</v>
      </c>
      <c r="F673" s="15" t="s">
        <v>13</v>
      </c>
      <c r="G673" s="15" t="s">
        <v>17</v>
      </c>
      <c r="H673" s="17">
        <v>46630</v>
      </c>
      <c r="I673" s="15">
        <v>360</v>
      </c>
      <c r="J673" s="18">
        <v>420</v>
      </c>
      <c r="K673" t="str">
        <f t="shared" si="10"/>
        <v>DE355-SDR7,4</v>
      </c>
      <c r="L673" s="1">
        <f>VLOOKUP(K673,'[1]Tarif - Evolution Marché'!$F:$J,5,0)</f>
        <v>106.67039259259259</v>
      </c>
    </row>
    <row r="674" spans="1:12" x14ac:dyDescent="0.3">
      <c r="A674" s="8" t="s">
        <v>23</v>
      </c>
      <c r="B674" s="11">
        <v>400</v>
      </c>
      <c r="C674" s="11" t="s">
        <v>11</v>
      </c>
      <c r="D674" s="11">
        <v>25</v>
      </c>
      <c r="E674" s="21">
        <v>135.38999999999999</v>
      </c>
      <c r="F674" s="11" t="s">
        <v>13</v>
      </c>
      <c r="G674" s="11" t="s">
        <v>17</v>
      </c>
      <c r="H674" s="12">
        <v>46630</v>
      </c>
      <c r="I674" s="11">
        <v>360</v>
      </c>
      <c r="J674" s="13">
        <v>420</v>
      </c>
      <c r="K674" t="str">
        <f t="shared" si="10"/>
        <v>DE400-SDR7,4</v>
      </c>
      <c r="L674" s="1">
        <f>VLOOKUP(K674,'[1]Tarif - Evolution Marché'!$F:$J,5,0)</f>
        <v>135.38934444444445</v>
      </c>
    </row>
    <row r="675" spans="1:12" x14ac:dyDescent="0.3">
      <c r="A675" s="14" t="s">
        <v>23</v>
      </c>
      <c r="B675" s="15">
        <v>450</v>
      </c>
      <c r="C675" s="15" t="s">
        <v>11</v>
      </c>
      <c r="D675" s="15">
        <v>25</v>
      </c>
      <c r="E675" s="21">
        <v>171.4</v>
      </c>
      <c r="F675" s="15" t="s">
        <v>13</v>
      </c>
      <c r="G675" s="15" t="s">
        <v>17</v>
      </c>
      <c r="H675" s="17">
        <v>46630</v>
      </c>
      <c r="I675" s="15">
        <v>192</v>
      </c>
      <c r="J675" s="18">
        <v>224</v>
      </c>
      <c r="K675" t="str">
        <f t="shared" si="10"/>
        <v>DE450-SDR7,4</v>
      </c>
      <c r="L675" s="1">
        <f>VLOOKUP(K675,'[1]Tarif - Evolution Marché'!$F:$J,5,0)</f>
        <v>171.40199835390948</v>
      </c>
    </row>
    <row r="676" spans="1:12" x14ac:dyDescent="0.3">
      <c r="A676" s="8" t="s">
        <v>23</v>
      </c>
      <c r="B676" s="11">
        <v>500</v>
      </c>
      <c r="C676" s="11" t="s">
        <v>11</v>
      </c>
      <c r="D676" s="11">
        <v>25</v>
      </c>
      <c r="E676" s="21">
        <v>211.52</v>
      </c>
      <c r="F676" s="11" t="s">
        <v>13</v>
      </c>
      <c r="G676" s="11" t="s">
        <v>17</v>
      </c>
      <c r="H676" s="12">
        <v>46630</v>
      </c>
      <c r="I676" s="11">
        <v>192</v>
      </c>
      <c r="J676" s="13">
        <v>224</v>
      </c>
      <c r="K676" t="str">
        <f t="shared" si="10"/>
        <v>DE500-SDR7,4</v>
      </c>
      <c r="L676" s="1">
        <f>VLOOKUP(K676,'[1]Tarif - Evolution Marché'!$F:$J,5,0)</f>
        <v>211.51735967078187</v>
      </c>
    </row>
    <row r="677" spans="1:12" x14ac:dyDescent="0.3">
      <c r="A677" s="14" t="s">
        <v>23</v>
      </c>
      <c r="B677" s="15">
        <v>63</v>
      </c>
      <c r="C677" s="15" t="s">
        <v>3</v>
      </c>
      <c r="D677" s="15">
        <v>4</v>
      </c>
      <c r="E677" s="22">
        <v>0.82</v>
      </c>
      <c r="F677" s="15" t="s">
        <v>18</v>
      </c>
      <c r="G677" s="15" t="s">
        <v>15</v>
      </c>
      <c r="H677" s="17">
        <v>46630</v>
      </c>
      <c r="I677" s="17"/>
      <c r="J677" s="18"/>
      <c r="K677" t="str">
        <f t="shared" si="10"/>
        <v>DE63-SDR41</v>
      </c>
      <c r="L677">
        <f>VLOOKUP(K677,'[1]Tarif - Evolution Marché'!$F:$K,6,0)</f>
        <v>0.82414143459915612</v>
      </c>
    </row>
    <row r="678" spans="1:12" x14ac:dyDescent="0.3">
      <c r="A678" s="8" t="s">
        <v>23</v>
      </c>
      <c r="B678" s="11">
        <v>75</v>
      </c>
      <c r="C678" s="11" t="s">
        <v>3</v>
      </c>
      <c r="D678" s="11">
        <v>4</v>
      </c>
      <c r="E678" s="22">
        <v>1.03</v>
      </c>
      <c r="F678" s="11" t="s">
        <v>18</v>
      </c>
      <c r="G678" s="11" t="s">
        <v>15</v>
      </c>
      <c r="H678" s="12">
        <v>46630</v>
      </c>
      <c r="I678" s="12"/>
      <c r="J678" s="13"/>
      <c r="K678" t="str">
        <f t="shared" si="10"/>
        <v>DE75-SDR41</v>
      </c>
      <c r="L678">
        <f>VLOOKUP(K678,'[1]Tarif - Evolution Marché'!$F:$K,6,0)</f>
        <v>1.0346558227848102</v>
      </c>
    </row>
    <row r="679" spans="1:12" x14ac:dyDescent="0.3">
      <c r="A679" s="14" t="s">
        <v>23</v>
      </c>
      <c r="B679" s="15">
        <v>90</v>
      </c>
      <c r="C679" s="15" t="s">
        <v>3</v>
      </c>
      <c r="D679" s="15">
        <v>4</v>
      </c>
      <c r="E679" s="22">
        <v>1.45</v>
      </c>
      <c r="F679" s="15" t="s">
        <v>18</v>
      </c>
      <c r="G679" s="15" t="s">
        <v>15</v>
      </c>
      <c r="H679" s="17">
        <v>46630</v>
      </c>
      <c r="I679" s="17"/>
      <c r="J679" s="18"/>
      <c r="K679" t="str">
        <f t="shared" si="10"/>
        <v>DE90-SDR41</v>
      </c>
      <c r="L679">
        <f>VLOOKUP(K679,'[1]Tarif - Evolution Marché'!$F:$K,6,0)</f>
        <v>1.4489660548523207</v>
      </c>
    </row>
    <row r="680" spans="1:12" x14ac:dyDescent="0.3">
      <c r="A680" s="8" t="s">
        <v>23</v>
      </c>
      <c r="B680" s="11">
        <v>110</v>
      </c>
      <c r="C680" s="11" t="s">
        <v>3</v>
      </c>
      <c r="D680" s="11">
        <v>4</v>
      </c>
      <c r="E680" s="22">
        <v>2.13</v>
      </c>
      <c r="F680" s="11" t="s">
        <v>18</v>
      </c>
      <c r="G680" s="11" t="s">
        <v>15</v>
      </c>
      <c r="H680" s="12">
        <v>46630</v>
      </c>
      <c r="I680" s="12"/>
      <c r="J680" s="13"/>
      <c r="K680" t="str">
        <f t="shared" si="10"/>
        <v>DE110-SDR41</v>
      </c>
      <c r="L680">
        <f>VLOOKUP(K680,'[1]Tarif - Evolution Marché'!$F:$K,6,0)</f>
        <v>2.1320180590717297</v>
      </c>
    </row>
    <row r="681" spans="1:12" x14ac:dyDescent="0.3">
      <c r="A681" s="14" t="s">
        <v>23</v>
      </c>
      <c r="B681" s="15">
        <v>125</v>
      </c>
      <c r="C681" s="15" t="s">
        <v>3</v>
      </c>
      <c r="D681" s="15">
        <v>4</v>
      </c>
      <c r="E681" s="22">
        <v>2.8</v>
      </c>
      <c r="F681" s="15" t="s">
        <v>18</v>
      </c>
      <c r="G681" s="15" t="s">
        <v>15</v>
      </c>
      <c r="H681" s="17">
        <v>46630</v>
      </c>
      <c r="I681" s="15">
        <v>2400</v>
      </c>
      <c r="J681" s="18">
        <v>2800</v>
      </c>
      <c r="K681" t="str">
        <f t="shared" si="10"/>
        <v>DE125-SDR41</v>
      </c>
      <c r="L681">
        <f>VLOOKUP(K681,'[1]Tarif - Evolution Marché'!$F:$K,6,0)</f>
        <v>2.7993934599156116</v>
      </c>
    </row>
    <row r="682" spans="1:12" x14ac:dyDescent="0.3">
      <c r="A682" s="8" t="s">
        <v>23</v>
      </c>
      <c r="B682" s="11">
        <v>140</v>
      </c>
      <c r="C682" s="11" t="s">
        <v>3</v>
      </c>
      <c r="D682" s="11">
        <v>4</v>
      </c>
      <c r="E682" s="22">
        <v>3.49</v>
      </c>
      <c r="F682" s="11" t="s">
        <v>18</v>
      </c>
      <c r="G682" s="11" t="s">
        <v>15</v>
      </c>
      <c r="H682" s="12">
        <v>46630</v>
      </c>
      <c r="I682" s="11">
        <v>1920</v>
      </c>
      <c r="J682" s="13">
        <v>2240</v>
      </c>
      <c r="K682" t="str">
        <f t="shared" si="10"/>
        <v>DE140-SDR41</v>
      </c>
      <c r="L682">
        <f>VLOOKUP(K682,'[1]Tarif - Evolution Marché'!$F:$K,6,0)</f>
        <v>3.4936430379746835</v>
      </c>
    </row>
    <row r="683" spans="1:12" x14ac:dyDescent="0.3">
      <c r="A683" s="14" t="s">
        <v>23</v>
      </c>
      <c r="B683" s="15">
        <v>160</v>
      </c>
      <c r="C683" s="15" t="s">
        <v>3</v>
      </c>
      <c r="D683" s="15">
        <v>4</v>
      </c>
      <c r="E683" s="22">
        <v>4.5199999999999996</v>
      </c>
      <c r="F683" s="15" t="s">
        <v>18</v>
      </c>
      <c r="G683" s="15" t="s">
        <v>15</v>
      </c>
      <c r="H683" s="17">
        <v>46630</v>
      </c>
      <c r="I683" s="15">
        <v>1920</v>
      </c>
      <c r="J683" s="18">
        <v>2240</v>
      </c>
      <c r="K683" t="str">
        <f t="shared" si="10"/>
        <v>DE160-SDR41</v>
      </c>
      <c r="L683">
        <f>VLOOKUP(K683,'[1]Tarif - Evolution Marché'!$F:$K,6,0)</f>
        <v>4.5238198312236282</v>
      </c>
    </row>
    <row r="684" spans="1:12" x14ac:dyDescent="0.3">
      <c r="A684" s="8" t="s">
        <v>23</v>
      </c>
      <c r="B684" s="11">
        <v>180</v>
      </c>
      <c r="C684" s="11" t="s">
        <v>3</v>
      </c>
      <c r="D684" s="11">
        <v>4</v>
      </c>
      <c r="E684" s="22">
        <v>5.62</v>
      </c>
      <c r="F684" s="11" t="s">
        <v>18</v>
      </c>
      <c r="G684" s="11" t="s">
        <v>15</v>
      </c>
      <c r="H684" s="12">
        <v>46630</v>
      </c>
      <c r="I684" s="11">
        <v>1200</v>
      </c>
      <c r="J684" s="13">
        <v>1400</v>
      </c>
      <c r="K684" t="str">
        <f t="shared" si="10"/>
        <v>DE180-SDR41</v>
      </c>
      <c r="L684">
        <f>VLOOKUP(K684,'[1]Tarif - Evolution Marché'!$F:$K,6,0)</f>
        <v>5.6211820675105475</v>
      </c>
    </row>
    <row r="685" spans="1:12" x14ac:dyDescent="0.3">
      <c r="A685" s="14" t="s">
        <v>23</v>
      </c>
      <c r="B685" s="15">
        <v>200</v>
      </c>
      <c r="C685" s="15" t="s">
        <v>3</v>
      </c>
      <c r="D685" s="15">
        <v>4</v>
      </c>
      <c r="E685" s="22">
        <v>6.9</v>
      </c>
      <c r="F685" s="15" t="s">
        <v>18</v>
      </c>
      <c r="G685" s="15" t="s">
        <v>15</v>
      </c>
      <c r="H685" s="17">
        <v>46630</v>
      </c>
      <c r="I685" s="15">
        <v>960</v>
      </c>
      <c r="J685" s="18">
        <v>1120</v>
      </c>
      <c r="K685" t="str">
        <f t="shared" si="10"/>
        <v>DE200-SDR41</v>
      </c>
      <c r="L685">
        <f>VLOOKUP(K685,'[1]Tarif - Evolution Marché'!$F:$K,6,0)</f>
        <v>6.8977054852320672</v>
      </c>
    </row>
    <row r="686" spans="1:12" x14ac:dyDescent="0.3">
      <c r="A686" s="8" t="s">
        <v>23</v>
      </c>
      <c r="B686" s="11">
        <v>225</v>
      </c>
      <c r="C686" s="11" t="s">
        <v>3</v>
      </c>
      <c r="D686" s="11">
        <v>4</v>
      </c>
      <c r="E686" s="22">
        <v>8.73</v>
      </c>
      <c r="F686" s="11" t="s">
        <v>18</v>
      </c>
      <c r="G686" s="11" t="s">
        <v>15</v>
      </c>
      <c r="H686" s="12">
        <v>46630</v>
      </c>
      <c r="I686" s="11">
        <v>960</v>
      </c>
      <c r="J686" s="13">
        <v>1120</v>
      </c>
      <c r="K686" t="str">
        <f t="shared" si="10"/>
        <v>DE225-SDR41</v>
      </c>
      <c r="L686">
        <f>VLOOKUP(K686,'[1]Tarif - Evolution Marché'!$F:$K,6,0)</f>
        <v>8.7341075949367077</v>
      </c>
    </row>
    <row r="687" spans="1:12" x14ac:dyDescent="0.3">
      <c r="A687" s="14" t="s">
        <v>23</v>
      </c>
      <c r="B687" s="15">
        <v>250</v>
      </c>
      <c r="C687" s="15" t="s">
        <v>3</v>
      </c>
      <c r="D687" s="15">
        <v>4</v>
      </c>
      <c r="E687" s="22">
        <v>10.93</v>
      </c>
      <c r="F687" s="15" t="s">
        <v>18</v>
      </c>
      <c r="G687" s="15" t="s">
        <v>15</v>
      </c>
      <c r="H687" s="17">
        <v>46630</v>
      </c>
      <c r="I687" s="15">
        <v>672</v>
      </c>
      <c r="J687" s="18">
        <v>784</v>
      </c>
      <c r="K687" t="str">
        <f t="shared" si="10"/>
        <v>DE250-SDR41</v>
      </c>
      <c r="L687">
        <f>VLOOKUP(K687,'[1]Tarif - Evolution Marché'!$F:$K,6,0)</f>
        <v>10.928832067510548</v>
      </c>
    </row>
    <row r="688" spans="1:12" x14ac:dyDescent="0.3">
      <c r="A688" s="8" t="s">
        <v>23</v>
      </c>
      <c r="B688" s="11">
        <v>280</v>
      </c>
      <c r="C688" s="11" t="s">
        <v>3</v>
      </c>
      <c r="D688" s="11">
        <v>4</v>
      </c>
      <c r="E688" s="22">
        <v>13.53</v>
      </c>
      <c r="F688" s="11" t="s">
        <v>18</v>
      </c>
      <c r="G688" s="11" t="s">
        <v>15</v>
      </c>
      <c r="H688" s="12">
        <v>46630</v>
      </c>
      <c r="I688" s="11">
        <v>672</v>
      </c>
      <c r="J688" s="13">
        <v>784</v>
      </c>
      <c r="K688" t="str">
        <f t="shared" si="10"/>
        <v>DE280-SDR41</v>
      </c>
      <c r="L688">
        <f>VLOOKUP(K688,'[1]Tarif - Evolution Marché'!$F:$K,6,0)</f>
        <v>13.526669198312236</v>
      </c>
    </row>
    <row r="689" spans="1:12" x14ac:dyDescent="0.3">
      <c r="A689" s="14" t="s">
        <v>23</v>
      </c>
      <c r="B689" s="15">
        <v>315</v>
      </c>
      <c r="C689" s="15" t="s">
        <v>3</v>
      </c>
      <c r="D689" s="15">
        <v>4</v>
      </c>
      <c r="E689" s="22">
        <v>17</v>
      </c>
      <c r="F689" s="15" t="s">
        <v>18</v>
      </c>
      <c r="G689" s="15" t="s">
        <v>15</v>
      </c>
      <c r="H689" s="17">
        <v>46630</v>
      </c>
      <c r="I689" s="15">
        <v>432</v>
      </c>
      <c r="J689" s="18">
        <v>504</v>
      </c>
      <c r="K689" t="str">
        <f t="shared" si="10"/>
        <v>DE315-SDR41</v>
      </c>
      <c r="L689">
        <f>VLOOKUP(K689,'[1]Tarif - Evolution Marché'!$F:$K,6,0)</f>
        <v>16.997917088607593</v>
      </c>
    </row>
    <row r="690" spans="1:12" x14ac:dyDescent="0.3">
      <c r="A690" s="8" t="s">
        <v>23</v>
      </c>
      <c r="B690" s="11">
        <v>355</v>
      </c>
      <c r="C690" s="11" t="s">
        <v>3</v>
      </c>
      <c r="D690" s="11">
        <v>4</v>
      </c>
      <c r="E690" s="22">
        <v>21.61</v>
      </c>
      <c r="F690" s="11" t="s">
        <v>18</v>
      </c>
      <c r="G690" s="11" t="s">
        <v>15</v>
      </c>
      <c r="H690" s="12">
        <v>46630</v>
      </c>
      <c r="I690" s="11">
        <v>360</v>
      </c>
      <c r="J690" s="13">
        <v>420</v>
      </c>
      <c r="K690" t="str">
        <f t="shared" si="10"/>
        <v>DE355-SDR41</v>
      </c>
      <c r="L690">
        <f>VLOOKUP(K690,'[1]Tarif - Evolution Marché'!$F:$K,6,0)</f>
        <v>21.611317510548524</v>
      </c>
    </row>
    <row r="691" spans="1:12" x14ac:dyDescent="0.3">
      <c r="A691" s="14" t="s">
        <v>23</v>
      </c>
      <c r="B691" s="15">
        <v>400</v>
      </c>
      <c r="C691" s="15" t="s">
        <v>3</v>
      </c>
      <c r="D691" s="15">
        <v>4</v>
      </c>
      <c r="E691" s="22">
        <v>27.32</v>
      </c>
      <c r="F691" s="15" t="s">
        <v>18</v>
      </c>
      <c r="G691" s="15" t="s">
        <v>15</v>
      </c>
      <c r="H691" s="17">
        <v>46630</v>
      </c>
      <c r="I691" s="15">
        <v>360</v>
      </c>
      <c r="J691" s="18">
        <v>420</v>
      </c>
      <c r="K691" t="str">
        <f t="shared" si="10"/>
        <v>DE400-SDR41</v>
      </c>
      <c r="L691">
        <f>VLOOKUP(K691,'[1]Tarif - Evolution Marché'!$F:$K,6,0)</f>
        <v>27.32208016877637</v>
      </c>
    </row>
    <row r="692" spans="1:12" x14ac:dyDescent="0.3">
      <c r="A692" s="8" t="s">
        <v>23</v>
      </c>
      <c r="B692" s="11">
        <v>450</v>
      </c>
      <c r="C692" s="11" t="s">
        <v>3</v>
      </c>
      <c r="D692" s="11">
        <v>4</v>
      </c>
      <c r="E692" s="22">
        <v>34.49</v>
      </c>
      <c r="F692" s="11" t="s">
        <v>18</v>
      </c>
      <c r="G692" s="11" t="s">
        <v>15</v>
      </c>
      <c r="H692" s="12">
        <v>46630</v>
      </c>
      <c r="I692" s="11">
        <v>192</v>
      </c>
      <c r="J692" s="13">
        <v>224</v>
      </c>
      <c r="K692" t="str">
        <f t="shared" si="10"/>
        <v>DE450-SDR41</v>
      </c>
      <c r="L692">
        <f>VLOOKUP(K692,'[1]Tarif - Evolution Marché'!$F:$K,6,0)</f>
        <v>34.488527426160339</v>
      </c>
    </row>
    <row r="693" spans="1:12" x14ac:dyDescent="0.3">
      <c r="A693" s="14" t="s">
        <v>23</v>
      </c>
      <c r="B693" s="15">
        <v>500</v>
      </c>
      <c r="C693" s="15" t="s">
        <v>3</v>
      </c>
      <c r="D693" s="15">
        <v>4</v>
      </c>
      <c r="E693" s="22">
        <v>43</v>
      </c>
      <c r="F693" s="15" t="s">
        <v>18</v>
      </c>
      <c r="G693" s="15" t="s">
        <v>15</v>
      </c>
      <c r="H693" s="17">
        <v>46630</v>
      </c>
      <c r="I693" s="15">
        <v>192</v>
      </c>
      <c r="J693" s="18">
        <v>224</v>
      </c>
      <c r="K693" t="str">
        <f t="shared" si="10"/>
        <v>DE500-SDR41</v>
      </c>
      <c r="L693">
        <f>VLOOKUP(K693,'[1]Tarif - Evolution Marché'!$F:$K,6,0)</f>
        <v>42.998683544303795</v>
      </c>
    </row>
    <row r="694" spans="1:12" x14ac:dyDescent="0.3">
      <c r="A694" s="8" t="s">
        <v>23</v>
      </c>
      <c r="B694" s="11">
        <v>560</v>
      </c>
      <c r="C694" s="11" t="s">
        <v>3</v>
      </c>
      <c r="D694" s="11">
        <v>4</v>
      </c>
      <c r="E694" s="22">
        <v>53.52</v>
      </c>
      <c r="F694" s="11" t="s">
        <v>18</v>
      </c>
      <c r="G694" s="11" t="s">
        <v>15</v>
      </c>
      <c r="H694" s="12">
        <v>46630</v>
      </c>
      <c r="I694" s="11">
        <v>192</v>
      </c>
      <c r="J694" s="13">
        <v>224</v>
      </c>
      <c r="K694" t="str">
        <f t="shared" si="10"/>
        <v>DE560-SDR41</v>
      </c>
      <c r="L694">
        <f>VLOOKUP(K694,'[1]Tarif - Evolution Marché'!$F:$K,6,0)</f>
        <v>53.524402953586495</v>
      </c>
    </row>
    <row r="695" spans="1:12" x14ac:dyDescent="0.3">
      <c r="A695" s="14" t="s">
        <v>23</v>
      </c>
      <c r="B695" s="15">
        <v>630</v>
      </c>
      <c r="C695" s="15" t="s">
        <v>3</v>
      </c>
      <c r="D695" s="15">
        <v>4</v>
      </c>
      <c r="E695" s="22">
        <v>67.63</v>
      </c>
      <c r="F695" s="15" t="s">
        <v>18</v>
      </c>
      <c r="G695" s="15" t="s">
        <v>15</v>
      </c>
      <c r="H695" s="17">
        <v>46630</v>
      </c>
      <c r="I695" s="15">
        <v>108</v>
      </c>
      <c r="J695" s="18">
        <v>126</v>
      </c>
      <c r="K695" t="str">
        <f t="shared" si="10"/>
        <v>DE630-SDR41</v>
      </c>
      <c r="L695">
        <f>VLOOKUP(K695,'[1]Tarif - Evolution Marché'!$F:$K,6,0)</f>
        <v>67.633345991561171</v>
      </c>
    </row>
    <row r="696" spans="1:12" x14ac:dyDescent="0.3">
      <c r="A696" s="8" t="s">
        <v>23</v>
      </c>
      <c r="B696" s="11">
        <v>710</v>
      </c>
      <c r="C696" s="11" t="s">
        <v>3</v>
      </c>
      <c r="D696" s="11">
        <v>4</v>
      </c>
      <c r="E696" s="22">
        <v>86</v>
      </c>
      <c r="F696" s="11" t="s">
        <v>18</v>
      </c>
      <c r="G696" s="11" t="s">
        <v>15</v>
      </c>
      <c r="H696" s="12">
        <v>46630</v>
      </c>
      <c r="I696" s="11">
        <v>108</v>
      </c>
      <c r="J696" s="13">
        <v>126</v>
      </c>
      <c r="K696" t="str">
        <f t="shared" si="10"/>
        <v>DE710-SDR41</v>
      </c>
      <c r="L696">
        <f>VLOOKUP(K696,'[1]Tarif - Evolution Marché'!$F:$K,6,0)</f>
        <v>85.997367088607589</v>
      </c>
    </row>
    <row r="697" spans="1:12" x14ac:dyDescent="0.3">
      <c r="A697" s="14" t="s">
        <v>23</v>
      </c>
      <c r="B697" s="15">
        <v>800</v>
      </c>
      <c r="C697" s="15" t="s">
        <v>3</v>
      </c>
      <c r="D697" s="15">
        <v>4</v>
      </c>
      <c r="E697" s="22">
        <v>109.06</v>
      </c>
      <c r="F697" s="15" t="s">
        <v>18</v>
      </c>
      <c r="G697" s="15" t="s">
        <v>15</v>
      </c>
      <c r="H697" s="17">
        <v>46630</v>
      </c>
      <c r="I697" s="15">
        <v>108</v>
      </c>
      <c r="J697" s="18">
        <v>126</v>
      </c>
      <c r="K697" t="str">
        <f t="shared" si="10"/>
        <v>DE800-SDR41</v>
      </c>
      <c r="L697">
        <f>VLOOKUP(K697,'[1]Tarif - Evolution Marché'!$F:$K,6,0)</f>
        <v>109.06436919831224</v>
      </c>
    </row>
    <row r="698" spans="1:12" x14ac:dyDescent="0.3">
      <c r="A698" s="8" t="s">
        <v>23</v>
      </c>
      <c r="B698" s="11">
        <v>900</v>
      </c>
      <c r="C698" s="11" t="s">
        <v>3</v>
      </c>
      <c r="D698" s="11">
        <v>4</v>
      </c>
      <c r="E698" s="22">
        <v>137.28</v>
      </c>
      <c r="F698" s="11" t="s">
        <v>18</v>
      </c>
      <c r="G698" s="11" t="s">
        <v>15</v>
      </c>
      <c r="H698" s="12">
        <v>46630</v>
      </c>
      <c r="I698" s="11">
        <v>72</v>
      </c>
      <c r="J698" s="13">
        <v>84</v>
      </c>
      <c r="K698" t="str">
        <f t="shared" si="10"/>
        <v>DE900-SDR41</v>
      </c>
      <c r="L698">
        <f>VLOOKUP(K698,'[1]Tarif - Evolution Marché'!$F:$K,6,0)</f>
        <v>137.28225527426159</v>
      </c>
    </row>
    <row r="699" spans="1:12" x14ac:dyDescent="0.3">
      <c r="A699" s="14" t="s">
        <v>23</v>
      </c>
      <c r="B699" s="15">
        <v>1000</v>
      </c>
      <c r="C699" s="15" t="s">
        <v>3</v>
      </c>
      <c r="D699" s="15">
        <v>4</v>
      </c>
      <c r="E699" s="22">
        <v>169.98</v>
      </c>
      <c r="F699" s="15" t="s">
        <v>18</v>
      </c>
      <c r="G699" s="15" t="s">
        <v>15</v>
      </c>
      <c r="H699" s="17">
        <v>46630</v>
      </c>
      <c r="I699" s="15">
        <v>48</v>
      </c>
      <c r="J699" s="18">
        <v>56</v>
      </c>
      <c r="K699" t="str">
        <f t="shared" si="10"/>
        <v>DE1000-SDR41</v>
      </c>
      <c r="L699">
        <f>VLOOKUP(K699,'[1]Tarif - Evolution Marché'!$F:$K,6,0)</f>
        <v>169.97917088607596</v>
      </c>
    </row>
    <row r="700" spans="1:12" x14ac:dyDescent="0.3">
      <c r="A700" s="8" t="s">
        <v>23</v>
      </c>
      <c r="B700" s="11">
        <v>1200</v>
      </c>
      <c r="C700" s="11" t="s">
        <v>3</v>
      </c>
      <c r="D700" s="11">
        <v>4</v>
      </c>
      <c r="E700" s="22">
        <v>244.11</v>
      </c>
      <c r="F700" s="11" t="s">
        <v>18</v>
      </c>
      <c r="G700" s="11" t="s">
        <v>15</v>
      </c>
      <c r="H700" s="12">
        <v>46630</v>
      </c>
      <c r="I700" s="11">
        <v>36</v>
      </c>
      <c r="J700" s="13">
        <v>42</v>
      </c>
      <c r="K700" t="str">
        <f t="shared" si="10"/>
        <v>DE1200-SDR41</v>
      </c>
      <c r="L700">
        <f>VLOOKUP(K700,'[1]Tarif - Evolution Marché'!$F:$K,6,0)</f>
        <v>244.10710970464135</v>
      </c>
    </row>
    <row r="701" spans="1:12" x14ac:dyDescent="0.3">
      <c r="A701" s="14" t="s">
        <v>23</v>
      </c>
      <c r="B701" s="15">
        <v>50</v>
      </c>
      <c r="C701" s="15" t="s">
        <v>4</v>
      </c>
      <c r="D701" s="15">
        <v>5</v>
      </c>
      <c r="E701" s="22">
        <v>0.65</v>
      </c>
      <c r="F701" s="15" t="s">
        <v>18</v>
      </c>
      <c r="G701" s="15" t="s">
        <v>15</v>
      </c>
      <c r="H701" s="17">
        <v>46630</v>
      </c>
      <c r="I701" s="17"/>
      <c r="J701" s="18"/>
      <c r="K701" t="str">
        <f t="shared" si="10"/>
        <v>DE50-SDR33</v>
      </c>
      <c r="L701">
        <f>VLOOKUP(K701,'[1]Tarif - Evolution Marché'!$F:$K,6,0)</f>
        <v>0.64945928270042186</v>
      </c>
    </row>
    <row r="702" spans="1:12" x14ac:dyDescent="0.3">
      <c r="A702" s="8" t="s">
        <v>23</v>
      </c>
      <c r="B702" s="11">
        <v>63</v>
      </c>
      <c r="C702" s="11" t="s">
        <v>4</v>
      </c>
      <c r="D702" s="11">
        <v>5</v>
      </c>
      <c r="E702" s="22">
        <v>0.9</v>
      </c>
      <c r="F702" s="11" t="s">
        <v>18</v>
      </c>
      <c r="G702" s="11" t="s">
        <v>15</v>
      </c>
      <c r="H702" s="12">
        <v>46630</v>
      </c>
      <c r="I702" s="12"/>
      <c r="J702" s="13"/>
      <c r="K702" t="str">
        <f t="shared" si="10"/>
        <v>DE63-SDR33</v>
      </c>
      <c r="L702">
        <f>VLOOKUP(K702,'[1]Tarif - Evolution Marché'!$F:$K,6,0)</f>
        <v>0.90252445147679328</v>
      </c>
    </row>
    <row r="703" spans="1:12" x14ac:dyDescent="0.3">
      <c r="A703" s="14" t="s">
        <v>23</v>
      </c>
      <c r="B703" s="15">
        <v>75</v>
      </c>
      <c r="C703" s="15" t="s">
        <v>4</v>
      </c>
      <c r="D703" s="15">
        <v>5</v>
      </c>
      <c r="E703" s="22">
        <v>1.25</v>
      </c>
      <c r="F703" s="15" t="s">
        <v>18</v>
      </c>
      <c r="G703" s="15" t="s">
        <v>15</v>
      </c>
      <c r="H703" s="17">
        <v>46630</v>
      </c>
      <c r="I703" s="17"/>
      <c r="J703" s="18"/>
      <c r="K703" t="str">
        <f t="shared" si="10"/>
        <v>DE75-SDR33</v>
      </c>
      <c r="L703">
        <f>VLOOKUP(K703,'[1]Tarif - Evolution Marché'!$F:$K,6,0)</f>
        <v>1.2474097257383967</v>
      </c>
    </row>
    <row r="704" spans="1:12" x14ac:dyDescent="0.3">
      <c r="A704" s="8" t="s">
        <v>23</v>
      </c>
      <c r="B704" s="11">
        <v>90</v>
      </c>
      <c r="C704" s="11" t="s">
        <v>4</v>
      </c>
      <c r="D704" s="11">
        <v>5</v>
      </c>
      <c r="E704" s="22">
        <v>1.79</v>
      </c>
      <c r="F704" s="11" t="s">
        <v>18</v>
      </c>
      <c r="G704" s="11" t="s">
        <v>15</v>
      </c>
      <c r="H704" s="12">
        <v>46630</v>
      </c>
      <c r="I704" s="12"/>
      <c r="J704" s="13"/>
      <c r="K704" t="str">
        <f t="shared" si="10"/>
        <v>DE90-SDR33</v>
      </c>
      <c r="L704">
        <f>VLOOKUP(K704,'[1]Tarif - Evolution Marché'!$F:$K,6,0)</f>
        <v>1.7916118143459916</v>
      </c>
    </row>
    <row r="705" spans="1:12" x14ac:dyDescent="0.3">
      <c r="A705" s="14" t="s">
        <v>23</v>
      </c>
      <c r="B705" s="15">
        <v>110</v>
      </c>
      <c r="C705" s="15" t="s">
        <v>4</v>
      </c>
      <c r="D705" s="15">
        <v>5</v>
      </c>
      <c r="E705" s="22">
        <v>2.67</v>
      </c>
      <c r="F705" s="15" t="s">
        <v>18</v>
      </c>
      <c r="G705" s="15" t="s">
        <v>15</v>
      </c>
      <c r="H705" s="17">
        <v>46630</v>
      </c>
      <c r="I705" s="17"/>
      <c r="J705" s="18"/>
      <c r="K705" t="str">
        <f t="shared" si="10"/>
        <v>DE110-SDR33</v>
      </c>
      <c r="L705">
        <f>VLOOKUP(K705,'[1]Tarif - Evolution Marché'!$F:$K,6,0)</f>
        <v>2.6650225738396625</v>
      </c>
    </row>
    <row r="706" spans="1:12" x14ac:dyDescent="0.3">
      <c r="A706" s="8" t="s">
        <v>23</v>
      </c>
      <c r="B706" s="11">
        <v>125</v>
      </c>
      <c r="C706" s="11" t="s">
        <v>4</v>
      </c>
      <c r="D706" s="11">
        <v>5</v>
      </c>
      <c r="E706" s="22">
        <v>3.43</v>
      </c>
      <c r="F706" s="11" t="s">
        <v>18</v>
      </c>
      <c r="G706" s="11" t="s">
        <v>15</v>
      </c>
      <c r="H706" s="12">
        <v>46630</v>
      </c>
      <c r="I706" s="11">
        <v>2400</v>
      </c>
      <c r="J706" s="13">
        <v>2800</v>
      </c>
      <c r="K706" t="str">
        <f t="shared" si="10"/>
        <v>DE125-SDR33</v>
      </c>
      <c r="L706">
        <f>VLOOKUP(K706,'[1]Tarif - Evolution Marché'!$F:$K,6,0)</f>
        <v>3.4264575949367089</v>
      </c>
    </row>
    <row r="707" spans="1:12" x14ac:dyDescent="0.3">
      <c r="A707" s="14" t="s">
        <v>23</v>
      </c>
      <c r="B707" s="15">
        <v>140</v>
      </c>
      <c r="C707" s="15" t="s">
        <v>4</v>
      </c>
      <c r="D707" s="15">
        <v>5</v>
      </c>
      <c r="E707" s="22">
        <v>4.26</v>
      </c>
      <c r="F707" s="15" t="s">
        <v>18</v>
      </c>
      <c r="G707" s="15" t="s">
        <v>15</v>
      </c>
      <c r="H707" s="17">
        <v>46630</v>
      </c>
      <c r="I707" s="15">
        <v>1920</v>
      </c>
      <c r="J707" s="18">
        <v>2240</v>
      </c>
      <c r="K707" t="str">
        <f t="shared" ref="K707:K770" si="11">CONCATENATE("DE",B707,"-",C707)</f>
        <v>DE140-SDR33</v>
      </c>
      <c r="L707">
        <f>VLOOKUP(K707,'[1]Tarif - Evolution Marché'!$F:$K,6,0)</f>
        <v>4.2550780590717299</v>
      </c>
    </row>
    <row r="708" spans="1:12" x14ac:dyDescent="0.3">
      <c r="A708" s="8" t="s">
        <v>23</v>
      </c>
      <c r="B708" s="11">
        <v>160</v>
      </c>
      <c r="C708" s="11" t="s">
        <v>4</v>
      </c>
      <c r="D708" s="11">
        <v>5</v>
      </c>
      <c r="E708" s="22">
        <v>5.49</v>
      </c>
      <c r="F708" s="11" t="s">
        <v>18</v>
      </c>
      <c r="G708" s="11" t="s">
        <v>15</v>
      </c>
      <c r="H708" s="12">
        <v>46630</v>
      </c>
      <c r="I708" s="11">
        <v>1920</v>
      </c>
      <c r="J708" s="13">
        <v>2240</v>
      </c>
      <c r="K708" t="str">
        <f t="shared" si="11"/>
        <v>DE160-SDR33</v>
      </c>
      <c r="L708">
        <f>VLOOKUP(K708,'[1]Tarif - Evolution Marché'!$F:$K,6,0)</f>
        <v>5.4868111814345992</v>
      </c>
    </row>
    <row r="709" spans="1:12" x14ac:dyDescent="0.3">
      <c r="A709" s="14" t="s">
        <v>23</v>
      </c>
      <c r="B709" s="15">
        <v>180</v>
      </c>
      <c r="C709" s="15" t="s">
        <v>4</v>
      </c>
      <c r="D709" s="15">
        <v>5</v>
      </c>
      <c r="E709" s="22">
        <v>6.94</v>
      </c>
      <c r="F709" s="15" t="s">
        <v>18</v>
      </c>
      <c r="G709" s="15" t="s">
        <v>15</v>
      </c>
      <c r="H709" s="17">
        <v>46630</v>
      </c>
      <c r="I709" s="15">
        <v>1200</v>
      </c>
      <c r="J709" s="18">
        <v>1400</v>
      </c>
      <c r="K709" t="str">
        <f t="shared" si="11"/>
        <v>DE180-SDR33</v>
      </c>
      <c r="L709">
        <f>VLOOKUP(K709,'[1]Tarif - Evolution Marché'!$F:$K,6,0)</f>
        <v>6.9424957805907175</v>
      </c>
    </row>
    <row r="710" spans="1:12" x14ac:dyDescent="0.3">
      <c r="A710" s="8" t="s">
        <v>23</v>
      </c>
      <c r="B710" s="11">
        <v>200</v>
      </c>
      <c r="C710" s="11" t="s">
        <v>4</v>
      </c>
      <c r="D710" s="11">
        <v>5</v>
      </c>
      <c r="E710" s="22">
        <v>8.69</v>
      </c>
      <c r="F710" s="11" t="s">
        <v>18</v>
      </c>
      <c r="G710" s="11" t="s">
        <v>15</v>
      </c>
      <c r="H710" s="12">
        <v>46630</v>
      </c>
      <c r="I710" s="11">
        <v>960</v>
      </c>
      <c r="J710" s="13">
        <v>1120</v>
      </c>
      <c r="K710" t="str">
        <f t="shared" si="11"/>
        <v>DE200-SDR33</v>
      </c>
      <c r="L710">
        <f>VLOOKUP(K710,'[1]Tarif - Evolution Marché'!$F:$K,6,0)</f>
        <v>8.6893172995780592</v>
      </c>
    </row>
    <row r="711" spans="1:12" x14ac:dyDescent="0.3">
      <c r="A711" s="14" t="s">
        <v>23</v>
      </c>
      <c r="B711" s="15">
        <v>225</v>
      </c>
      <c r="C711" s="15" t="s">
        <v>4</v>
      </c>
      <c r="D711" s="15">
        <v>5</v>
      </c>
      <c r="E711" s="22">
        <v>10.79</v>
      </c>
      <c r="F711" s="15" t="s">
        <v>18</v>
      </c>
      <c r="G711" s="15" t="s">
        <v>15</v>
      </c>
      <c r="H711" s="17">
        <v>46630</v>
      </c>
      <c r="I711" s="15">
        <v>960</v>
      </c>
      <c r="J711" s="18">
        <v>1120</v>
      </c>
      <c r="K711" t="str">
        <f t="shared" si="11"/>
        <v>DE225-SDR33</v>
      </c>
      <c r="L711">
        <f>VLOOKUP(K711,'[1]Tarif - Evolution Marché'!$F:$K,6,0)</f>
        <v>10.794461181434599</v>
      </c>
    </row>
    <row r="712" spans="1:12" x14ac:dyDescent="0.3">
      <c r="A712" s="8" t="s">
        <v>23</v>
      </c>
      <c r="B712" s="11">
        <v>250</v>
      </c>
      <c r="C712" s="11" t="s">
        <v>4</v>
      </c>
      <c r="D712" s="11">
        <v>5</v>
      </c>
      <c r="E712" s="22">
        <v>13.39</v>
      </c>
      <c r="F712" s="11" t="s">
        <v>18</v>
      </c>
      <c r="G712" s="11" t="s">
        <v>15</v>
      </c>
      <c r="H712" s="12">
        <v>46630</v>
      </c>
      <c r="I712" s="11">
        <v>672</v>
      </c>
      <c r="J712" s="13">
        <v>784</v>
      </c>
      <c r="K712" t="str">
        <f t="shared" si="11"/>
        <v>DE250-SDR33</v>
      </c>
      <c r="L712">
        <f>VLOOKUP(K712,'[1]Tarif - Evolution Marché'!$F:$K,6,0)</f>
        <v>13.392298312236287</v>
      </c>
    </row>
    <row r="713" spans="1:12" x14ac:dyDescent="0.3">
      <c r="A713" s="14" t="s">
        <v>23</v>
      </c>
      <c r="B713" s="15">
        <v>280</v>
      </c>
      <c r="C713" s="15" t="s">
        <v>4</v>
      </c>
      <c r="D713" s="15">
        <v>5</v>
      </c>
      <c r="E713" s="22">
        <v>16.73</v>
      </c>
      <c r="F713" s="15" t="s">
        <v>18</v>
      </c>
      <c r="G713" s="15" t="s">
        <v>15</v>
      </c>
      <c r="H713" s="17">
        <v>46630</v>
      </c>
      <c r="I713" s="15">
        <v>672</v>
      </c>
      <c r="J713" s="18">
        <v>784</v>
      </c>
      <c r="K713" t="str">
        <f t="shared" si="11"/>
        <v>DE280-SDR33</v>
      </c>
      <c r="L713">
        <f>VLOOKUP(K713,'[1]Tarif - Evolution Marché'!$F:$K,6,0)</f>
        <v>16.729175316455695</v>
      </c>
    </row>
    <row r="714" spans="1:12" x14ac:dyDescent="0.3">
      <c r="A714" s="8" t="s">
        <v>23</v>
      </c>
      <c r="B714" s="11">
        <v>315</v>
      </c>
      <c r="C714" s="11" t="s">
        <v>4</v>
      </c>
      <c r="D714" s="11">
        <v>5</v>
      </c>
      <c r="E714" s="22">
        <v>21.21</v>
      </c>
      <c r="F714" s="11" t="s">
        <v>18</v>
      </c>
      <c r="G714" s="11" t="s">
        <v>15</v>
      </c>
      <c r="H714" s="12">
        <v>46630</v>
      </c>
      <c r="I714" s="11">
        <v>432</v>
      </c>
      <c r="J714" s="13">
        <v>504</v>
      </c>
      <c r="K714" t="str">
        <f t="shared" si="11"/>
        <v>DE315-SDR33</v>
      </c>
      <c r="L714">
        <f>VLOOKUP(K714,'[1]Tarif - Evolution Marché'!$F:$K,6,0)</f>
        <v>21.208204852320677</v>
      </c>
    </row>
    <row r="715" spans="1:12" x14ac:dyDescent="0.3">
      <c r="A715" s="14" t="s">
        <v>23</v>
      </c>
      <c r="B715" s="15">
        <v>355</v>
      </c>
      <c r="C715" s="15" t="s">
        <v>4</v>
      </c>
      <c r="D715" s="15">
        <v>5</v>
      </c>
      <c r="E715" s="22">
        <v>26.87</v>
      </c>
      <c r="F715" s="15" t="s">
        <v>18</v>
      </c>
      <c r="G715" s="15" t="s">
        <v>15</v>
      </c>
      <c r="H715" s="17">
        <v>46630</v>
      </c>
      <c r="I715" s="15">
        <v>360</v>
      </c>
      <c r="J715" s="18">
        <v>420</v>
      </c>
      <c r="K715" t="str">
        <f t="shared" si="11"/>
        <v>DE355-SDR33</v>
      </c>
      <c r="L715">
        <f>VLOOKUP(K715,'[1]Tarif - Evolution Marché'!$F:$K,6,0)</f>
        <v>26.874177215189874</v>
      </c>
    </row>
    <row r="716" spans="1:12" x14ac:dyDescent="0.3">
      <c r="A716" s="8" t="s">
        <v>23</v>
      </c>
      <c r="B716" s="11">
        <v>400</v>
      </c>
      <c r="C716" s="11" t="s">
        <v>4</v>
      </c>
      <c r="D716" s="11">
        <v>5</v>
      </c>
      <c r="E716" s="22">
        <v>34.04</v>
      </c>
      <c r="F716" s="11" t="s">
        <v>18</v>
      </c>
      <c r="G716" s="11" t="s">
        <v>15</v>
      </c>
      <c r="H716" s="12">
        <v>46630</v>
      </c>
      <c r="I716" s="11">
        <v>360</v>
      </c>
      <c r="J716" s="13">
        <v>420</v>
      </c>
      <c r="K716" t="str">
        <f t="shared" si="11"/>
        <v>DE400-SDR33</v>
      </c>
      <c r="L716">
        <f>VLOOKUP(K716,'[1]Tarif - Evolution Marché'!$F:$K,6,0)</f>
        <v>34.040624472573839</v>
      </c>
    </row>
    <row r="717" spans="1:12" x14ac:dyDescent="0.3">
      <c r="A717" s="14" t="s">
        <v>23</v>
      </c>
      <c r="B717" s="15">
        <v>450</v>
      </c>
      <c r="C717" s="15" t="s">
        <v>4</v>
      </c>
      <c r="D717" s="15">
        <v>5</v>
      </c>
      <c r="E717" s="22">
        <v>43</v>
      </c>
      <c r="F717" s="15" t="s">
        <v>18</v>
      </c>
      <c r="G717" s="15" t="s">
        <v>15</v>
      </c>
      <c r="H717" s="17">
        <v>46630</v>
      </c>
      <c r="I717" s="15">
        <v>192</v>
      </c>
      <c r="J717" s="18">
        <v>224</v>
      </c>
      <c r="K717" t="str">
        <f t="shared" si="11"/>
        <v>DE450-SDR33</v>
      </c>
      <c r="L717">
        <f>VLOOKUP(K717,'[1]Tarif - Evolution Marché'!$F:$K,6,0)</f>
        <v>42.998683544303795</v>
      </c>
    </row>
    <row r="718" spans="1:12" x14ac:dyDescent="0.3">
      <c r="A718" s="8" t="s">
        <v>23</v>
      </c>
      <c r="B718" s="11">
        <v>500</v>
      </c>
      <c r="C718" s="11" t="s">
        <v>4</v>
      </c>
      <c r="D718" s="11">
        <v>5</v>
      </c>
      <c r="E718" s="22">
        <v>52.85</v>
      </c>
      <c r="F718" s="11" t="s">
        <v>18</v>
      </c>
      <c r="G718" s="11" t="s">
        <v>15</v>
      </c>
      <c r="H718" s="12">
        <v>46630</v>
      </c>
      <c r="I718" s="11">
        <v>192</v>
      </c>
      <c r="J718" s="13">
        <v>224</v>
      </c>
      <c r="K718" t="str">
        <f t="shared" si="11"/>
        <v>DE500-SDR33</v>
      </c>
      <c r="L718">
        <f>VLOOKUP(K718,'[1]Tarif - Evolution Marché'!$F:$K,6,0)</f>
        <v>52.85254852320675</v>
      </c>
    </row>
    <row r="719" spans="1:12" x14ac:dyDescent="0.3">
      <c r="A719" s="14" t="s">
        <v>23</v>
      </c>
      <c r="B719" s="15">
        <v>560</v>
      </c>
      <c r="C719" s="15" t="s">
        <v>4</v>
      </c>
      <c r="D719" s="15">
        <v>5</v>
      </c>
      <c r="E719" s="22">
        <v>66.510000000000005</v>
      </c>
      <c r="F719" s="15" t="s">
        <v>18</v>
      </c>
      <c r="G719" s="15" t="s">
        <v>15</v>
      </c>
      <c r="H719" s="17">
        <v>46630</v>
      </c>
      <c r="I719" s="15">
        <v>192</v>
      </c>
      <c r="J719" s="18">
        <v>224</v>
      </c>
      <c r="K719" t="str">
        <f t="shared" si="11"/>
        <v>DE560-SDR33</v>
      </c>
      <c r="L719">
        <f>VLOOKUP(K719,'[1]Tarif - Evolution Marché'!$F:$K,6,0)</f>
        <v>66.51358860759494</v>
      </c>
    </row>
    <row r="720" spans="1:12" x14ac:dyDescent="0.3">
      <c r="A720" s="8" t="s">
        <v>23</v>
      </c>
      <c r="B720" s="11">
        <v>630</v>
      </c>
      <c r="C720" s="11" t="s">
        <v>4</v>
      </c>
      <c r="D720" s="11">
        <v>5</v>
      </c>
      <c r="E720" s="22">
        <v>83.98</v>
      </c>
      <c r="F720" s="11" t="s">
        <v>18</v>
      </c>
      <c r="G720" s="11" t="s">
        <v>15</v>
      </c>
      <c r="H720" s="12">
        <v>46630</v>
      </c>
      <c r="I720" s="11">
        <v>108</v>
      </c>
      <c r="J720" s="13">
        <v>126</v>
      </c>
      <c r="K720" t="str">
        <f t="shared" si="11"/>
        <v>DE630-SDR33</v>
      </c>
      <c r="L720">
        <f>VLOOKUP(K720,'[1]Tarif - Evolution Marché'!$F:$K,6,0)</f>
        <v>83.981803797468345</v>
      </c>
    </row>
    <row r="721" spans="1:12" x14ac:dyDescent="0.3">
      <c r="A721" s="14" t="s">
        <v>23</v>
      </c>
      <c r="B721" s="15">
        <v>710</v>
      </c>
      <c r="C721" s="15" t="s">
        <v>4</v>
      </c>
      <c r="D721" s="15">
        <v>5</v>
      </c>
      <c r="E721" s="22">
        <v>106.82</v>
      </c>
      <c r="F721" s="15" t="s">
        <v>18</v>
      </c>
      <c r="G721" s="15" t="s">
        <v>15</v>
      </c>
      <c r="H721" s="17">
        <v>46630</v>
      </c>
      <c r="I721" s="15">
        <v>108</v>
      </c>
      <c r="J721" s="18">
        <v>126</v>
      </c>
      <c r="K721" t="str">
        <f t="shared" si="11"/>
        <v>DE710-SDR33</v>
      </c>
      <c r="L721">
        <f>VLOOKUP(K721,'[1]Tarif - Evolution Marché'!$F:$K,6,0)</f>
        <v>106.82485443037974</v>
      </c>
    </row>
    <row r="722" spans="1:12" x14ac:dyDescent="0.3">
      <c r="A722" s="8" t="s">
        <v>23</v>
      </c>
      <c r="B722" s="11">
        <v>800</v>
      </c>
      <c r="C722" s="11" t="s">
        <v>4</v>
      </c>
      <c r="D722" s="11">
        <v>5</v>
      </c>
      <c r="E722" s="22">
        <v>135.27000000000001</v>
      </c>
      <c r="F722" s="11" t="s">
        <v>18</v>
      </c>
      <c r="G722" s="11" t="s">
        <v>15</v>
      </c>
      <c r="H722" s="12">
        <v>46630</v>
      </c>
      <c r="I722" s="11">
        <v>108</v>
      </c>
      <c r="J722" s="13">
        <v>126</v>
      </c>
      <c r="K722" t="str">
        <f t="shared" si="11"/>
        <v>DE800-SDR33</v>
      </c>
      <c r="L722">
        <f>VLOOKUP(K722,'[1]Tarif - Evolution Marché'!$F:$K,6,0)</f>
        <v>135.26669198312234</v>
      </c>
    </row>
    <row r="723" spans="1:12" x14ac:dyDescent="0.3">
      <c r="A723" s="14" t="s">
        <v>23</v>
      </c>
      <c r="B723" s="15">
        <v>900</v>
      </c>
      <c r="C723" s="15" t="s">
        <v>4</v>
      </c>
      <c r="D723" s="15">
        <v>5</v>
      </c>
      <c r="E723" s="22">
        <v>171.1</v>
      </c>
      <c r="F723" s="15" t="s">
        <v>18</v>
      </c>
      <c r="G723" s="15" t="s">
        <v>15</v>
      </c>
      <c r="H723" s="17">
        <v>46630</v>
      </c>
      <c r="I723" s="15">
        <v>72</v>
      </c>
      <c r="J723" s="18">
        <v>84</v>
      </c>
      <c r="K723" t="str">
        <f t="shared" si="11"/>
        <v>DE900-SDR33</v>
      </c>
      <c r="L723">
        <f>VLOOKUP(K723,'[1]Tarif - Evolution Marché'!$F:$K,6,0)</f>
        <v>171.09892827004219</v>
      </c>
    </row>
    <row r="724" spans="1:12" x14ac:dyDescent="0.3">
      <c r="A724" s="8" t="s">
        <v>23</v>
      </c>
      <c r="B724" s="11">
        <v>1000</v>
      </c>
      <c r="C724" s="11" t="s">
        <v>4</v>
      </c>
      <c r="D724" s="11">
        <v>5</v>
      </c>
      <c r="E724" s="22">
        <v>210.74</v>
      </c>
      <c r="F724" s="11" t="s">
        <v>18</v>
      </c>
      <c r="G724" s="11" t="s">
        <v>15</v>
      </c>
      <c r="H724" s="12">
        <v>46630</v>
      </c>
      <c r="I724" s="11">
        <v>48</v>
      </c>
      <c r="J724" s="13">
        <v>56</v>
      </c>
      <c r="K724" t="str">
        <f t="shared" si="11"/>
        <v>DE1000-SDR33</v>
      </c>
      <c r="L724">
        <f>VLOOKUP(K724,'[1]Tarif - Evolution Marché'!$F:$K,6,0)</f>
        <v>210.73833966244723</v>
      </c>
    </row>
    <row r="725" spans="1:12" x14ac:dyDescent="0.3">
      <c r="A725" s="14" t="s">
        <v>23</v>
      </c>
      <c r="B725" s="15">
        <v>1200</v>
      </c>
      <c r="C725" s="15" t="s">
        <v>4</v>
      </c>
      <c r="D725" s="15">
        <v>5</v>
      </c>
      <c r="E725" s="22">
        <v>302.33</v>
      </c>
      <c r="F725" s="15" t="s">
        <v>18</v>
      </c>
      <c r="G725" s="15" t="s">
        <v>15</v>
      </c>
      <c r="H725" s="17">
        <v>46630</v>
      </c>
      <c r="I725" s="15">
        <v>36</v>
      </c>
      <c r="J725" s="18">
        <v>42</v>
      </c>
      <c r="K725" t="str">
        <f t="shared" si="11"/>
        <v>DE1200-SDR33</v>
      </c>
      <c r="L725">
        <f>VLOOKUP(K725,'[1]Tarif - Evolution Marché'!$F:$K,6,0)</f>
        <v>302.33449367088605</v>
      </c>
    </row>
    <row r="726" spans="1:12" x14ac:dyDescent="0.3">
      <c r="A726" s="8" t="s">
        <v>23</v>
      </c>
      <c r="B726" s="11">
        <v>40</v>
      </c>
      <c r="C726" s="11" t="s">
        <v>5</v>
      </c>
      <c r="D726" s="11">
        <v>6</v>
      </c>
      <c r="E726" s="22">
        <v>0.51</v>
      </c>
      <c r="F726" s="11" t="s">
        <v>18</v>
      </c>
      <c r="G726" s="11" t="s">
        <v>15</v>
      </c>
      <c r="H726" s="12">
        <v>46630</v>
      </c>
      <c r="I726" s="12"/>
      <c r="J726" s="13"/>
      <c r="K726" t="str">
        <f t="shared" si="11"/>
        <v>DE40-SDR26</v>
      </c>
      <c r="L726">
        <f>VLOOKUP(K726,'[1]Tarif - Evolution Marché'!$F:$K,6,0)</f>
        <v>0.5128488818565401</v>
      </c>
    </row>
    <row r="727" spans="1:12" x14ac:dyDescent="0.3">
      <c r="A727" s="14" t="s">
        <v>23</v>
      </c>
      <c r="B727" s="15">
        <v>50</v>
      </c>
      <c r="C727" s="15" t="s">
        <v>5</v>
      </c>
      <c r="D727" s="15">
        <v>6</v>
      </c>
      <c r="E727" s="22">
        <v>0.71</v>
      </c>
      <c r="F727" s="15" t="s">
        <v>18</v>
      </c>
      <c r="G727" s="15" t="s">
        <v>15</v>
      </c>
      <c r="H727" s="17">
        <v>46630</v>
      </c>
      <c r="I727" s="17"/>
      <c r="J727" s="18"/>
      <c r="K727" t="str">
        <f t="shared" si="11"/>
        <v>DE50-SDR26</v>
      </c>
      <c r="L727">
        <f>VLOOKUP(K727,'[1]Tarif - Evolution Marché'!$F:$K,6,0)</f>
        <v>0.70992618143459918</v>
      </c>
    </row>
    <row r="728" spans="1:12" x14ac:dyDescent="0.3">
      <c r="A728" s="8" t="s">
        <v>23</v>
      </c>
      <c r="B728" s="11">
        <v>63</v>
      </c>
      <c r="C728" s="11" t="s">
        <v>5</v>
      </c>
      <c r="D728" s="11">
        <v>6</v>
      </c>
      <c r="E728" s="22">
        <v>1.1200000000000001</v>
      </c>
      <c r="F728" s="11" t="s">
        <v>18</v>
      </c>
      <c r="G728" s="11" t="s">
        <v>15</v>
      </c>
      <c r="H728" s="12">
        <v>46630</v>
      </c>
      <c r="I728" s="12"/>
      <c r="J728" s="13"/>
      <c r="K728" t="str">
        <f t="shared" si="11"/>
        <v>DE63-SDR26</v>
      </c>
      <c r="L728">
        <f>VLOOKUP(K728,'[1]Tarif - Evolution Marché'!$F:$K,6,0)</f>
        <v>1.1197573839662447</v>
      </c>
    </row>
    <row r="729" spans="1:12" x14ac:dyDescent="0.3">
      <c r="A729" s="14" t="s">
        <v>23</v>
      </c>
      <c r="B729" s="15">
        <v>75</v>
      </c>
      <c r="C729" s="15" t="s">
        <v>5</v>
      </c>
      <c r="D729" s="15">
        <v>6</v>
      </c>
      <c r="E729" s="22">
        <v>1.53</v>
      </c>
      <c r="F729" s="15" t="s">
        <v>18</v>
      </c>
      <c r="G729" s="15" t="s">
        <v>15</v>
      </c>
      <c r="H729" s="17">
        <v>46630</v>
      </c>
      <c r="I729" s="17"/>
      <c r="J729" s="18"/>
      <c r="K729" t="str">
        <f t="shared" si="11"/>
        <v>DE75-SDR26</v>
      </c>
      <c r="L729">
        <f>VLOOKUP(K729,'[1]Tarif - Evolution Marché'!$F:$K,6,0)</f>
        <v>1.5295885864978904</v>
      </c>
    </row>
    <row r="730" spans="1:12" x14ac:dyDescent="0.3">
      <c r="A730" s="8" t="s">
        <v>23</v>
      </c>
      <c r="B730" s="11">
        <v>90</v>
      </c>
      <c r="C730" s="11" t="s">
        <v>5</v>
      </c>
      <c r="D730" s="11">
        <v>6</v>
      </c>
      <c r="E730" s="22">
        <v>2.21</v>
      </c>
      <c r="F730" s="11" t="s">
        <v>18</v>
      </c>
      <c r="G730" s="11" t="s">
        <v>15</v>
      </c>
      <c r="H730" s="12">
        <v>46630</v>
      </c>
      <c r="I730" s="12"/>
      <c r="J730" s="13"/>
      <c r="K730" t="str">
        <f t="shared" si="11"/>
        <v>DE90-SDR26</v>
      </c>
      <c r="L730">
        <f>VLOOKUP(K730,'[1]Tarif - Evolution Marché'!$F:$K,6,0)</f>
        <v>2.2126405907172995</v>
      </c>
    </row>
    <row r="731" spans="1:12" x14ac:dyDescent="0.3">
      <c r="A731" s="14" t="s">
        <v>23</v>
      </c>
      <c r="B731" s="15">
        <v>110</v>
      </c>
      <c r="C731" s="15" t="s">
        <v>5</v>
      </c>
      <c r="D731" s="15">
        <v>6</v>
      </c>
      <c r="E731" s="22">
        <v>3.25</v>
      </c>
      <c r="F731" s="15" t="s">
        <v>18</v>
      </c>
      <c r="G731" s="15" t="s">
        <v>15</v>
      </c>
      <c r="H731" s="17">
        <v>46630</v>
      </c>
      <c r="I731" s="17"/>
      <c r="J731" s="18"/>
      <c r="K731" t="str">
        <f t="shared" si="11"/>
        <v>DE110-SDR26</v>
      </c>
      <c r="L731">
        <f>VLOOKUP(K731,'[1]Tarif - Evolution Marché'!$F:$K,6,0)</f>
        <v>3.2472964135021094</v>
      </c>
    </row>
    <row r="732" spans="1:12" x14ac:dyDescent="0.3">
      <c r="A732" s="8" t="s">
        <v>23</v>
      </c>
      <c r="B732" s="11">
        <v>125</v>
      </c>
      <c r="C732" s="11" t="s">
        <v>5</v>
      </c>
      <c r="D732" s="11">
        <v>6</v>
      </c>
      <c r="E732" s="22">
        <v>4.17</v>
      </c>
      <c r="F732" s="11" t="s">
        <v>18</v>
      </c>
      <c r="G732" s="11" t="s">
        <v>15</v>
      </c>
      <c r="H732" s="12">
        <v>46630</v>
      </c>
      <c r="I732" s="11">
        <v>2400</v>
      </c>
      <c r="J732" s="13">
        <v>2800</v>
      </c>
      <c r="K732" t="str">
        <f t="shared" si="11"/>
        <v>DE125-SDR26</v>
      </c>
      <c r="L732">
        <f>VLOOKUP(K732,'[1]Tarif - Evolution Marché'!$F:$K,6,0)</f>
        <v>4.1654974683544301</v>
      </c>
    </row>
    <row r="733" spans="1:12" x14ac:dyDescent="0.3">
      <c r="A733" s="14" t="s">
        <v>23</v>
      </c>
      <c r="B733" s="15">
        <v>140</v>
      </c>
      <c r="C733" s="15" t="s">
        <v>5</v>
      </c>
      <c r="D733" s="15">
        <v>6</v>
      </c>
      <c r="E733" s="22">
        <v>5.26</v>
      </c>
      <c r="F733" s="15" t="s">
        <v>18</v>
      </c>
      <c r="G733" s="15" t="s">
        <v>15</v>
      </c>
      <c r="H733" s="17">
        <v>46630</v>
      </c>
      <c r="I733" s="15">
        <v>1920</v>
      </c>
      <c r="J733" s="18">
        <v>2240</v>
      </c>
      <c r="K733" t="str">
        <f t="shared" si="11"/>
        <v>DE140-SDR26</v>
      </c>
      <c r="L733">
        <f>VLOOKUP(K733,'[1]Tarif - Evolution Marché'!$F:$K,6,0)</f>
        <v>5.2628597046413503</v>
      </c>
    </row>
    <row r="734" spans="1:12" x14ac:dyDescent="0.3">
      <c r="A734" s="8" t="s">
        <v>23</v>
      </c>
      <c r="B734" s="11">
        <v>160</v>
      </c>
      <c r="C734" s="11" t="s">
        <v>5</v>
      </c>
      <c r="D734" s="11">
        <v>6</v>
      </c>
      <c r="E734" s="22">
        <v>6.9</v>
      </c>
      <c r="F734" s="11" t="s">
        <v>18</v>
      </c>
      <c r="G734" s="11" t="s">
        <v>15</v>
      </c>
      <c r="H734" s="12">
        <v>46630</v>
      </c>
      <c r="I734" s="11">
        <v>1920</v>
      </c>
      <c r="J734" s="13">
        <v>2240</v>
      </c>
      <c r="K734" t="str">
        <f t="shared" si="11"/>
        <v>DE160-SDR26</v>
      </c>
      <c r="L734">
        <f>VLOOKUP(K734,'[1]Tarif - Evolution Marché'!$F:$K,6,0)</f>
        <v>6.8977054852320672</v>
      </c>
    </row>
    <row r="735" spans="1:12" x14ac:dyDescent="0.3">
      <c r="A735" s="14" t="s">
        <v>23</v>
      </c>
      <c r="B735" s="15">
        <v>180</v>
      </c>
      <c r="C735" s="15" t="s">
        <v>5</v>
      </c>
      <c r="D735" s="15">
        <v>6</v>
      </c>
      <c r="E735" s="22">
        <v>8.58</v>
      </c>
      <c r="F735" s="15" t="s">
        <v>18</v>
      </c>
      <c r="G735" s="15" t="s">
        <v>15</v>
      </c>
      <c r="H735" s="17">
        <v>46630</v>
      </c>
      <c r="I735" s="15">
        <v>1200</v>
      </c>
      <c r="J735" s="18">
        <v>1400</v>
      </c>
      <c r="K735" t="str">
        <f t="shared" si="11"/>
        <v>DE180-SDR26</v>
      </c>
      <c r="L735">
        <f>VLOOKUP(K735,'[1]Tarif - Evolution Marché'!$F:$K,6,0)</f>
        <v>8.5773415611814343</v>
      </c>
    </row>
    <row r="736" spans="1:12" x14ac:dyDescent="0.3">
      <c r="A736" s="8" t="s">
        <v>23</v>
      </c>
      <c r="B736" s="11">
        <v>200</v>
      </c>
      <c r="C736" s="11" t="s">
        <v>5</v>
      </c>
      <c r="D736" s="11">
        <v>6</v>
      </c>
      <c r="E736" s="22">
        <v>10.62</v>
      </c>
      <c r="F736" s="11" t="s">
        <v>18</v>
      </c>
      <c r="G736" s="11" t="s">
        <v>15</v>
      </c>
      <c r="H736" s="12">
        <v>46630</v>
      </c>
      <c r="I736" s="11">
        <v>960</v>
      </c>
      <c r="J736" s="13">
        <v>1120</v>
      </c>
      <c r="K736" t="str">
        <f t="shared" si="11"/>
        <v>DE200-SDR26</v>
      </c>
      <c r="L736">
        <f>VLOOKUP(K736,'[1]Tarif - Evolution Marché'!$F:$K,6,0)</f>
        <v>10.6153</v>
      </c>
    </row>
    <row r="737" spans="1:12" x14ac:dyDescent="0.3">
      <c r="A737" s="14" t="s">
        <v>23</v>
      </c>
      <c r="B737" s="15">
        <v>225</v>
      </c>
      <c r="C737" s="15" t="s">
        <v>5</v>
      </c>
      <c r="D737" s="15">
        <v>6</v>
      </c>
      <c r="E737" s="22">
        <v>13.35</v>
      </c>
      <c r="F737" s="15" t="s">
        <v>18</v>
      </c>
      <c r="G737" s="15" t="s">
        <v>15</v>
      </c>
      <c r="H737" s="17">
        <v>46630</v>
      </c>
      <c r="I737" s="15">
        <v>960</v>
      </c>
      <c r="J737" s="18">
        <v>1120</v>
      </c>
      <c r="K737" t="str">
        <f t="shared" si="11"/>
        <v>DE225-SDR26</v>
      </c>
      <c r="L737">
        <f>VLOOKUP(K737,'[1]Tarif - Evolution Marché'!$F:$K,6,0)</f>
        <v>13.347508016877637</v>
      </c>
    </row>
    <row r="738" spans="1:12" x14ac:dyDescent="0.3">
      <c r="A738" s="8" t="s">
        <v>23</v>
      </c>
      <c r="B738" s="11">
        <v>250</v>
      </c>
      <c r="C738" s="11" t="s">
        <v>5</v>
      </c>
      <c r="D738" s="11">
        <v>6</v>
      </c>
      <c r="E738" s="22">
        <v>16.53</v>
      </c>
      <c r="F738" s="11" t="s">
        <v>18</v>
      </c>
      <c r="G738" s="11" t="s">
        <v>15</v>
      </c>
      <c r="H738" s="12">
        <v>46630</v>
      </c>
      <c r="I738" s="11">
        <v>672</v>
      </c>
      <c r="J738" s="13">
        <v>784</v>
      </c>
      <c r="K738" t="str">
        <f t="shared" si="11"/>
        <v>DE250-SDR26</v>
      </c>
      <c r="L738">
        <f>VLOOKUP(K738,'[1]Tarif - Evolution Marché'!$F:$K,6,0)</f>
        <v>16.527618987341771</v>
      </c>
    </row>
    <row r="739" spans="1:12" x14ac:dyDescent="0.3">
      <c r="A739" s="14" t="s">
        <v>23</v>
      </c>
      <c r="B739" s="15">
        <v>280</v>
      </c>
      <c r="C739" s="15" t="s">
        <v>5</v>
      </c>
      <c r="D739" s="15">
        <v>6</v>
      </c>
      <c r="E739" s="22">
        <v>20.6</v>
      </c>
      <c r="F739" s="15" t="s">
        <v>18</v>
      </c>
      <c r="G739" s="15" t="s">
        <v>15</v>
      </c>
      <c r="H739" s="17">
        <v>46630</v>
      </c>
      <c r="I739" s="15">
        <v>672</v>
      </c>
      <c r="J739" s="18">
        <v>784</v>
      </c>
      <c r="K739" t="str">
        <f t="shared" si="11"/>
        <v>DE280-SDR26</v>
      </c>
      <c r="L739">
        <f>VLOOKUP(K739,'[1]Tarif - Evolution Marché'!$F:$K,6,0)</f>
        <v>20.603535864978902</v>
      </c>
    </row>
    <row r="740" spans="1:12" x14ac:dyDescent="0.3">
      <c r="A740" s="8" t="s">
        <v>23</v>
      </c>
      <c r="B740" s="11">
        <v>315</v>
      </c>
      <c r="C740" s="11" t="s">
        <v>5</v>
      </c>
      <c r="D740" s="11">
        <v>6</v>
      </c>
      <c r="E740" s="22">
        <v>26.2</v>
      </c>
      <c r="F740" s="11" t="s">
        <v>18</v>
      </c>
      <c r="G740" s="11" t="s">
        <v>15</v>
      </c>
      <c r="H740" s="12">
        <v>46630</v>
      </c>
      <c r="I740" s="11">
        <v>432</v>
      </c>
      <c r="J740" s="13">
        <v>504</v>
      </c>
      <c r="K740" t="str">
        <f t="shared" si="11"/>
        <v>DE315-SDR26</v>
      </c>
      <c r="L740">
        <f>VLOOKUP(K740,'[1]Tarif - Evolution Marché'!$F:$K,6,0)</f>
        <v>26.202322784810125</v>
      </c>
    </row>
    <row r="741" spans="1:12" x14ac:dyDescent="0.3">
      <c r="A741" s="14" t="s">
        <v>23</v>
      </c>
      <c r="B741" s="15">
        <v>355</v>
      </c>
      <c r="C741" s="15" t="s">
        <v>5</v>
      </c>
      <c r="D741" s="15">
        <v>6</v>
      </c>
      <c r="E741" s="22">
        <v>33.14</v>
      </c>
      <c r="F741" s="15" t="s">
        <v>18</v>
      </c>
      <c r="G741" s="15" t="s">
        <v>15</v>
      </c>
      <c r="H741" s="17">
        <v>46630</v>
      </c>
      <c r="I741" s="15">
        <v>360</v>
      </c>
      <c r="J741" s="18">
        <v>420</v>
      </c>
      <c r="K741" t="str">
        <f t="shared" si="11"/>
        <v>DE355-SDR26</v>
      </c>
      <c r="L741">
        <f>VLOOKUP(K741,'[1]Tarif - Evolution Marché'!$F:$K,6,0)</f>
        <v>33.144818565400847</v>
      </c>
    </row>
    <row r="742" spans="1:12" x14ac:dyDescent="0.3">
      <c r="A742" s="8" t="s">
        <v>23</v>
      </c>
      <c r="B742" s="11">
        <v>400</v>
      </c>
      <c r="C742" s="11" t="s">
        <v>5</v>
      </c>
      <c r="D742" s="11">
        <v>6</v>
      </c>
      <c r="E742" s="22">
        <v>42.1</v>
      </c>
      <c r="F742" s="11" t="s">
        <v>18</v>
      </c>
      <c r="G742" s="11" t="s">
        <v>15</v>
      </c>
      <c r="H742" s="12">
        <v>46630</v>
      </c>
      <c r="I742" s="11">
        <v>360</v>
      </c>
      <c r="J742" s="13">
        <v>420</v>
      </c>
      <c r="K742" t="str">
        <f t="shared" si="11"/>
        <v>DE400-SDR26</v>
      </c>
      <c r="L742">
        <f>VLOOKUP(K742,'[1]Tarif - Evolution Marché'!$F:$K,6,0)</f>
        <v>42.102877637130803</v>
      </c>
    </row>
    <row r="743" spans="1:12" x14ac:dyDescent="0.3">
      <c r="A743" s="14" t="s">
        <v>23</v>
      </c>
      <c r="B743" s="15">
        <v>450</v>
      </c>
      <c r="C743" s="15" t="s">
        <v>5</v>
      </c>
      <c r="D743" s="15">
        <v>6</v>
      </c>
      <c r="E743" s="22">
        <v>53.08</v>
      </c>
      <c r="F743" s="15" t="s">
        <v>18</v>
      </c>
      <c r="G743" s="15" t="s">
        <v>15</v>
      </c>
      <c r="H743" s="17">
        <v>46630</v>
      </c>
      <c r="I743" s="15">
        <v>192</v>
      </c>
      <c r="J743" s="18">
        <v>224</v>
      </c>
      <c r="K743" t="str">
        <f t="shared" si="11"/>
        <v>DE450-SDR26</v>
      </c>
      <c r="L743">
        <f>VLOOKUP(K743,'[1]Tarif - Evolution Marché'!$F:$K,6,0)</f>
        <v>53.076499999999996</v>
      </c>
    </row>
    <row r="744" spans="1:12" x14ac:dyDescent="0.3">
      <c r="A744" s="8" t="s">
        <v>23</v>
      </c>
      <c r="B744" s="11">
        <v>500</v>
      </c>
      <c r="C744" s="11" t="s">
        <v>5</v>
      </c>
      <c r="D744" s="11">
        <v>6</v>
      </c>
      <c r="E744" s="22">
        <v>65.39</v>
      </c>
      <c r="F744" s="11" t="s">
        <v>18</v>
      </c>
      <c r="G744" s="11" t="s">
        <v>15</v>
      </c>
      <c r="H744" s="12">
        <v>46630</v>
      </c>
      <c r="I744" s="11">
        <v>192</v>
      </c>
      <c r="J744" s="13">
        <v>224</v>
      </c>
      <c r="K744" t="str">
        <f t="shared" si="11"/>
        <v>DE500-SDR26</v>
      </c>
      <c r="L744">
        <f>VLOOKUP(K744,'[1]Tarif - Evolution Marché'!$F:$K,6,0)</f>
        <v>65.393831223628695</v>
      </c>
    </row>
    <row r="745" spans="1:12" x14ac:dyDescent="0.3">
      <c r="A745" s="14" t="s">
        <v>23</v>
      </c>
      <c r="B745" s="15">
        <v>560</v>
      </c>
      <c r="C745" s="15" t="s">
        <v>5</v>
      </c>
      <c r="D745" s="15">
        <v>6</v>
      </c>
      <c r="E745" s="22">
        <v>81.97</v>
      </c>
      <c r="F745" s="15" t="s">
        <v>18</v>
      </c>
      <c r="G745" s="15" t="s">
        <v>15</v>
      </c>
      <c r="H745" s="17">
        <v>46630</v>
      </c>
      <c r="I745" s="15">
        <v>192</v>
      </c>
      <c r="J745" s="18">
        <v>224</v>
      </c>
      <c r="K745" t="str">
        <f t="shared" si="11"/>
        <v>DE560-SDR26</v>
      </c>
      <c r="L745">
        <f>VLOOKUP(K745,'[1]Tarif - Evolution Marché'!$F:$K,6,0)</f>
        <v>81.966240506329115</v>
      </c>
    </row>
    <row r="746" spans="1:12" x14ac:dyDescent="0.3">
      <c r="A746" s="8" t="s">
        <v>23</v>
      </c>
      <c r="B746" s="11">
        <v>630</v>
      </c>
      <c r="C746" s="11" t="s">
        <v>5</v>
      </c>
      <c r="D746" s="11">
        <v>6</v>
      </c>
      <c r="E746" s="22">
        <v>103.91</v>
      </c>
      <c r="F746" s="11" t="s">
        <v>18</v>
      </c>
      <c r="G746" s="11" t="s">
        <v>15</v>
      </c>
      <c r="H746" s="12">
        <v>46630</v>
      </c>
      <c r="I746" s="11">
        <v>108</v>
      </c>
      <c r="J746" s="13">
        <v>126</v>
      </c>
      <c r="K746" t="str">
        <f t="shared" si="11"/>
        <v>DE630-SDR26</v>
      </c>
      <c r="L746">
        <f>VLOOKUP(K746,'[1]Tarif - Evolution Marché'!$F:$K,6,0)</f>
        <v>103.9134852320675</v>
      </c>
    </row>
    <row r="747" spans="1:12" x14ac:dyDescent="0.3">
      <c r="A747" s="14" t="s">
        <v>23</v>
      </c>
      <c r="B747" s="15">
        <v>710</v>
      </c>
      <c r="C747" s="15" t="s">
        <v>5</v>
      </c>
      <c r="D747" s="15">
        <v>6</v>
      </c>
      <c r="E747" s="22">
        <v>132.13</v>
      </c>
      <c r="F747" s="15" t="s">
        <v>18</v>
      </c>
      <c r="G747" s="15" t="s">
        <v>15</v>
      </c>
      <c r="H747" s="17">
        <v>46630</v>
      </c>
      <c r="I747" s="15">
        <v>108</v>
      </c>
      <c r="J747" s="18">
        <v>126</v>
      </c>
      <c r="K747" t="str">
        <f t="shared" si="11"/>
        <v>DE710-SDR26</v>
      </c>
      <c r="L747">
        <f>VLOOKUP(K747,'[1]Tarif - Evolution Marché'!$F:$K,6,0)</f>
        <v>132.13137130801687</v>
      </c>
    </row>
    <row r="748" spans="1:12" x14ac:dyDescent="0.3">
      <c r="A748" s="8" t="s">
        <v>23</v>
      </c>
      <c r="B748" s="11">
        <v>800</v>
      </c>
      <c r="C748" s="11" t="s">
        <v>5</v>
      </c>
      <c r="D748" s="11">
        <v>6</v>
      </c>
      <c r="E748" s="22">
        <v>167.29</v>
      </c>
      <c r="F748" s="11" t="s">
        <v>18</v>
      </c>
      <c r="G748" s="11" t="s">
        <v>15</v>
      </c>
      <c r="H748" s="12">
        <v>46630</v>
      </c>
      <c r="I748" s="11">
        <v>108</v>
      </c>
      <c r="J748" s="13">
        <v>126</v>
      </c>
      <c r="K748" t="str">
        <f t="shared" si="11"/>
        <v>DE800-SDR26</v>
      </c>
      <c r="L748">
        <f>VLOOKUP(K748,'[1]Tarif - Evolution Marché'!$F:$K,6,0)</f>
        <v>167.29175316455695</v>
      </c>
    </row>
    <row r="749" spans="1:12" x14ac:dyDescent="0.3">
      <c r="A749" s="14" t="s">
        <v>23</v>
      </c>
      <c r="B749" s="15">
        <v>900</v>
      </c>
      <c r="C749" s="15" t="s">
        <v>5</v>
      </c>
      <c r="D749" s="15">
        <v>6</v>
      </c>
      <c r="E749" s="22">
        <v>211.41</v>
      </c>
      <c r="F749" s="15" t="s">
        <v>18</v>
      </c>
      <c r="G749" s="15" t="s">
        <v>15</v>
      </c>
      <c r="H749" s="17">
        <v>46630</v>
      </c>
      <c r="I749" s="15">
        <v>72</v>
      </c>
      <c r="J749" s="18">
        <v>84</v>
      </c>
      <c r="K749" t="str">
        <f t="shared" si="11"/>
        <v>DE900-SDR26</v>
      </c>
      <c r="L749">
        <f>VLOOKUP(K749,'[1]Tarif - Evolution Marché'!$F:$K,6,0)</f>
        <v>211.410194092827</v>
      </c>
    </row>
    <row r="750" spans="1:12" x14ac:dyDescent="0.3">
      <c r="A750" s="8" t="s">
        <v>23</v>
      </c>
      <c r="B750" s="11">
        <v>1000</v>
      </c>
      <c r="C750" s="11" t="s">
        <v>5</v>
      </c>
      <c r="D750" s="11">
        <v>6</v>
      </c>
      <c r="E750" s="22">
        <v>262.02</v>
      </c>
      <c r="F750" s="11" t="s">
        <v>18</v>
      </c>
      <c r="G750" s="11" t="s">
        <v>15</v>
      </c>
      <c r="H750" s="12">
        <v>46630</v>
      </c>
      <c r="I750" s="11">
        <v>48</v>
      </c>
      <c r="J750" s="13">
        <v>56</v>
      </c>
      <c r="K750" t="str">
        <f t="shared" si="11"/>
        <v>DE1000-SDR26</v>
      </c>
      <c r="L750">
        <f>VLOOKUP(K750,'[1]Tarif - Evolution Marché'!$F:$K,6,0)</f>
        <v>262.02322784810127</v>
      </c>
    </row>
    <row r="751" spans="1:12" x14ac:dyDescent="0.3">
      <c r="A751" s="14" t="s">
        <v>23</v>
      </c>
      <c r="B751" s="15">
        <v>1200</v>
      </c>
      <c r="C751" s="15" t="s">
        <v>5</v>
      </c>
      <c r="D751" s="15">
        <v>6</v>
      </c>
      <c r="E751" s="22">
        <v>376.24</v>
      </c>
      <c r="F751" s="15" t="s">
        <v>18</v>
      </c>
      <c r="G751" s="15" t="s">
        <v>15</v>
      </c>
      <c r="H751" s="17">
        <v>46630</v>
      </c>
      <c r="I751" s="15">
        <v>36</v>
      </c>
      <c r="J751" s="18">
        <v>42</v>
      </c>
      <c r="K751" t="str">
        <f t="shared" si="11"/>
        <v>DE1200-SDR26</v>
      </c>
      <c r="L751">
        <f>VLOOKUP(K751,'[1]Tarif - Evolution Marché'!$F:$K,6,0)</f>
        <v>376.23848101265821</v>
      </c>
    </row>
    <row r="752" spans="1:12" x14ac:dyDescent="0.3">
      <c r="A752" s="8" t="s">
        <v>23</v>
      </c>
      <c r="B752" s="11">
        <v>40</v>
      </c>
      <c r="C752" s="11" t="s">
        <v>6</v>
      </c>
      <c r="D752" s="11">
        <v>8</v>
      </c>
      <c r="E752" s="22">
        <v>0.56000000000000005</v>
      </c>
      <c r="F752" s="11" t="s">
        <v>18</v>
      </c>
      <c r="G752" s="11" t="s">
        <v>15</v>
      </c>
      <c r="H752" s="12">
        <v>46630</v>
      </c>
      <c r="I752" s="12"/>
      <c r="J752" s="13"/>
      <c r="K752" t="str">
        <f t="shared" si="11"/>
        <v>DE40-SDR21</v>
      </c>
      <c r="L752">
        <f>VLOOKUP(K752,'[1]Tarif - Evolution Marché'!$F:$K,6,0)</f>
        <v>0.56211820675105484</v>
      </c>
    </row>
    <row r="753" spans="1:12" x14ac:dyDescent="0.3">
      <c r="A753" s="14" t="s">
        <v>23</v>
      </c>
      <c r="B753" s="15">
        <v>50</v>
      </c>
      <c r="C753" s="15" t="s">
        <v>6</v>
      </c>
      <c r="D753" s="15">
        <v>8</v>
      </c>
      <c r="E753" s="22">
        <v>0.85</v>
      </c>
      <c r="F753" s="15" t="s">
        <v>18</v>
      </c>
      <c r="G753" s="15" t="s">
        <v>15</v>
      </c>
      <c r="H753" s="17">
        <v>46630</v>
      </c>
      <c r="I753" s="17"/>
      <c r="J753" s="18"/>
      <c r="K753" t="str">
        <f t="shared" si="11"/>
        <v>DE50-SDR21</v>
      </c>
      <c r="L753">
        <f>VLOOKUP(K753,'[1]Tarif - Evolution Marché'!$F:$K,6,0)</f>
        <v>0.84653658227848094</v>
      </c>
    </row>
    <row r="754" spans="1:12" x14ac:dyDescent="0.3">
      <c r="A754" s="8" t="s">
        <v>23</v>
      </c>
      <c r="B754" s="11">
        <v>63</v>
      </c>
      <c r="C754" s="11" t="s">
        <v>6</v>
      </c>
      <c r="D754" s="11">
        <v>8</v>
      </c>
      <c r="E754" s="22">
        <v>1.31</v>
      </c>
      <c r="F754" s="11" t="s">
        <v>18</v>
      </c>
      <c r="G754" s="11" t="s">
        <v>15</v>
      </c>
      <c r="H754" s="12">
        <v>46630</v>
      </c>
      <c r="I754" s="12"/>
      <c r="J754" s="13"/>
      <c r="K754" t="str">
        <f t="shared" si="11"/>
        <v>DE63-SDR21</v>
      </c>
      <c r="L754">
        <f>VLOOKUP(K754,'[1]Tarif - Evolution Marché'!$F:$K,6,0)</f>
        <v>1.3123556540084387</v>
      </c>
    </row>
    <row r="755" spans="1:12" x14ac:dyDescent="0.3">
      <c r="A755" s="14" t="s">
        <v>23</v>
      </c>
      <c r="B755" s="15">
        <v>75</v>
      </c>
      <c r="C755" s="15" t="s">
        <v>6</v>
      </c>
      <c r="D755" s="15">
        <v>8</v>
      </c>
      <c r="E755" s="22">
        <v>1.87</v>
      </c>
      <c r="F755" s="15" t="s">
        <v>18</v>
      </c>
      <c r="G755" s="15" t="s">
        <v>15</v>
      </c>
      <c r="H755" s="17">
        <v>46630</v>
      </c>
      <c r="I755" s="17"/>
      <c r="J755" s="18"/>
      <c r="K755" t="str">
        <f t="shared" si="11"/>
        <v>DE75-SDR21</v>
      </c>
      <c r="L755">
        <f>VLOOKUP(K755,'[1]Tarif - Evolution Marché'!$F:$K,6,0)</f>
        <v>1.8722343459915611</v>
      </c>
    </row>
    <row r="756" spans="1:12" x14ac:dyDescent="0.3">
      <c r="A756" s="8" t="s">
        <v>23</v>
      </c>
      <c r="B756" s="11">
        <v>90</v>
      </c>
      <c r="C756" s="11" t="s">
        <v>6</v>
      </c>
      <c r="D756" s="11">
        <v>8</v>
      </c>
      <c r="E756" s="22">
        <v>2.69</v>
      </c>
      <c r="F756" s="11" t="s">
        <v>18</v>
      </c>
      <c r="G756" s="11" t="s">
        <v>15</v>
      </c>
      <c r="H756" s="12">
        <v>46630</v>
      </c>
      <c r="I756" s="12"/>
      <c r="J756" s="13"/>
      <c r="K756" t="str">
        <f t="shared" si="11"/>
        <v>DE90-SDR21</v>
      </c>
      <c r="L756">
        <f>VLOOKUP(K756,'[1]Tarif - Evolution Marché'!$F:$K,6,0)</f>
        <v>2.6874177215189872</v>
      </c>
    </row>
    <row r="757" spans="1:12" x14ac:dyDescent="0.3">
      <c r="A757" s="14" t="s">
        <v>23</v>
      </c>
      <c r="B757" s="15">
        <v>110</v>
      </c>
      <c r="C757" s="15" t="s">
        <v>6</v>
      </c>
      <c r="D757" s="15">
        <v>8</v>
      </c>
      <c r="E757" s="22">
        <v>4.01</v>
      </c>
      <c r="F757" s="15" t="s">
        <v>18</v>
      </c>
      <c r="G757" s="15" t="s">
        <v>15</v>
      </c>
      <c r="H757" s="17">
        <v>46630</v>
      </c>
      <c r="I757" s="17"/>
      <c r="J757" s="18"/>
      <c r="K757" t="str">
        <f t="shared" si="11"/>
        <v>DE110-SDR21</v>
      </c>
      <c r="L757">
        <f>VLOOKUP(K757,'[1]Tarif - Evolution Marché'!$F:$K,6,0)</f>
        <v>4.0087314345991558</v>
      </c>
    </row>
    <row r="758" spans="1:12" x14ac:dyDescent="0.3">
      <c r="A758" s="8" t="s">
        <v>23</v>
      </c>
      <c r="B758" s="11">
        <v>125</v>
      </c>
      <c r="C758" s="11" t="s">
        <v>6</v>
      </c>
      <c r="D758" s="11">
        <v>8</v>
      </c>
      <c r="E758" s="22">
        <v>5.13</v>
      </c>
      <c r="F758" s="11" t="s">
        <v>18</v>
      </c>
      <c r="G758" s="11" t="s">
        <v>15</v>
      </c>
      <c r="H758" s="12">
        <v>46630</v>
      </c>
      <c r="I758" s="11">
        <v>2400</v>
      </c>
      <c r="J758" s="13">
        <v>2800</v>
      </c>
      <c r="K758" t="str">
        <f t="shared" si="11"/>
        <v>DE125-SDR21</v>
      </c>
      <c r="L758">
        <f>VLOOKUP(K758,'[1]Tarif - Evolution Marché'!$F:$K,6,0)</f>
        <v>5.1284888185654012</v>
      </c>
    </row>
    <row r="759" spans="1:12" x14ac:dyDescent="0.3">
      <c r="A759" s="14" t="s">
        <v>23</v>
      </c>
      <c r="B759" s="15">
        <v>140</v>
      </c>
      <c r="C759" s="15" t="s">
        <v>6</v>
      </c>
      <c r="D759" s="15">
        <v>8</v>
      </c>
      <c r="E759" s="22">
        <v>6.41</v>
      </c>
      <c r="F759" s="15" t="s">
        <v>18</v>
      </c>
      <c r="G759" s="15" t="s">
        <v>15</v>
      </c>
      <c r="H759" s="17">
        <v>46630</v>
      </c>
      <c r="I759" s="15">
        <v>1920</v>
      </c>
      <c r="J759" s="18">
        <v>2240</v>
      </c>
      <c r="K759" t="str">
        <f t="shared" si="11"/>
        <v>DE140-SDR21</v>
      </c>
      <c r="L759">
        <f>VLOOKUP(K759,'[1]Tarif - Evolution Marché'!$F:$K,6,0)</f>
        <v>6.4050122362869191</v>
      </c>
    </row>
    <row r="760" spans="1:12" x14ac:dyDescent="0.3">
      <c r="A760" s="8" t="s">
        <v>23</v>
      </c>
      <c r="B760" s="11">
        <v>160</v>
      </c>
      <c r="C760" s="11" t="s">
        <v>6</v>
      </c>
      <c r="D760" s="11">
        <v>8</v>
      </c>
      <c r="E760" s="22">
        <v>8.4</v>
      </c>
      <c r="F760" s="11" t="s">
        <v>18</v>
      </c>
      <c r="G760" s="11" t="s">
        <v>15</v>
      </c>
      <c r="H760" s="12">
        <v>46630</v>
      </c>
      <c r="I760" s="11">
        <v>1920</v>
      </c>
      <c r="J760" s="13">
        <v>2240</v>
      </c>
      <c r="K760" t="str">
        <f t="shared" si="11"/>
        <v>DE160-SDR21</v>
      </c>
      <c r="L760">
        <f>VLOOKUP(K760,'[1]Tarif - Evolution Marché'!$F:$K,6,0)</f>
        <v>8.3981803797468348</v>
      </c>
    </row>
    <row r="761" spans="1:12" x14ac:dyDescent="0.3">
      <c r="A761" s="14" t="s">
        <v>23</v>
      </c>
      <c r="B761" s="15">
        <v>180</v>
      </c>
      <c r="C761" s="15" t="s">
        <v>6</v>
      </c>
      <c r="D761" s="15">
        <v>8</v>
      </c>
      <c r="E761" s="22">
        <v>10.55</v>
      </c>
      <c r="F761" s="15" t="s">
        <v>18</v>
      </c>
      <c r="G761" s="15" t="s">
        <v>15</v>
      </c>
      <c r="H761" s="17">
        <v>46630</v>
      </c>
      <c r="I761" s="15">
        <v>1200</v>
      </c>
      <c r="J761" s="18">
        <v>1400</v>
      </c>
      <c r="K761" t="str">
        <f t="shared" si="11"/>
        <v>DE180-SDR21</v>
      </c>
      <c r="L761">
        <f>VLOOKUP(K761,'[1]Tarif - Evolution Marché'!$F:$K,6,0)</f>
        <v>10.548114556962025</v>
      </c>
    </row>
    <row r="762" spans="1:12" x14ac:dyDescent="0.3">
      <c r="A762" s="8" t="s">
        <v>23</v>
      </c>
      <c r="B762" s="11">
        <v>200</v>
      </c>
      <c r="C762" s="11" t="s">
        <v>6</v>
      </c>
      <c r="D762" s="11">
        <v>8</v>
      </c>
      <c r="E762" s="22">
        <v>13.08</v>
      </c>
      <c r="F762" s="11" t="s">
        <v>18</v>
      </c>
      <c r="G762" s="11" t="s">
        <v>15</v>
      </c>
      <c r="H762" s="12">
        <v>46630</v>
      </c>
      <c r="I762" s="11">
        <v>960</v>
      </c>
      <c r="J762" s="13">
        <v>1120</v>
      </c>
      <c r="K762" t="str">
        <f t="shared" si="11"/>
        <v>DE200-SDR21</v>
      </c>
      <c r="L762">
        <f>VLOOKUP(K762,'[1]Tarif - Evolution Marché'!$F:$K,6,0)</f>
        <v>13.078766244725738</v>
      </c>
    </row>
    <row r="763" spans="1:12" x14ac:dyDescent="0.3">
      <c r="A763" s="14" t="s">
        <v>23</v>
      </c>
      <c r="B763" s="15">
        <v>225</v>
      </c>
      <c r="C763" s="15" t="s">
        <v>6</v>
      </c>
      <c r="D763" s="15">
        <v>8</v>
      </c>
      <c r="E763" s="22">
        <v>16.510000000000002</v>
      </c>
      <c r="F763" s="15" t="s">
        <v>18</v>
      </c>
      <c r="G763" s="15" t="s">
        <v>15</v>
      </c>
      <c r="H763" s="17">
        <v>46630</v>
      </c>
      <c r="I763" s="15">
        <v>960</v>
      </c>
      <c r="J763" s="18">
        <v>1120</v>
      </c>
      <c r="K763" t="str">
        <f t="shared" si="11"/>
        <v>DE225-SDR21</v>
      </c>
      <c r="L763">
        <f>VLOOKUP(K763,'[1]Tarif - Evolution Marché'!$F:$K,6,0)</f>
        <v>16.505223839662445</v>
      </c>
    </row>
    <row r="764" spans="1:12" x14ac:dyDescent="0.3">
      <c r="A764" s="8" t="s">
        <v>23</v>
      </c>
      <c r="B764" s="11">
        <v>250</v>
      </c>
      <c r="C764" s="11" t="s">
        <v>6</v>
      </c>
      <c r="D764" s="11">
        <v>8</v>
      </c>
      <c r="E764" s="22">
        <v>20.2</v>
      </c>
      <c r="F764" s="11" t="s">
        <v>18</v>
      </c>
      <c r="G764" s="11" t="s">
        <v>15</v>
      </c>
      <c r="H764" s="12">
        <v>46630</v>
      </c>
      <c r="I764" s="11">
        <v>672</v>
      </c>
      <c r="J764" s="13">
        <v>784</v>
      </c>
      <c r="K764" t="str">
        <f t="shared" si="11"/>
        <v>DE250-SDR21</v>
      </c>
      <c r="L764">
        <f>VLOOKUP(K764,'[1]Tarif - Evolution Marché'!$F:$K,6,0)</f>
        <v>20.200423206751054</v>
      </c>
    </row>
    <row r="765" spans="1:12" x14ac:dyDescent="0.3">
      <c r="A765" s="14" t="s">
        <v>23</v>
      </c>
      <c r="B765" s="15">
        <v>280</v>
      </c>
      <c r="C765" s="15" t="s">
        <v>6</v>
      </c>
      <c r="D765" s="15">
        <v>8</v>
      </c>
      <c r="E765" s="22">
        <v>25.53</v>
      </c>
      <c r="F765" s="15" t="s">
        <v>18</v>
      </c>
      <c r="G765" s="15" t="s">
        <v>15</v>
      </c>
      <c r="H765" s="17">
        <v>46630</v>
      </c>
      <c r="I765" s="15">
        <v>672</v>
      </c>
      <c r="J765" s="18">
        <v>784</v>
      </c>
      <c r="K765" t="str">
        <f t="shared" si="11"/>
        <v>DE280-SDR21</v>
      </c>
      <c r="L765">
        <f>VLOOKUP(K765,'[1]Tarif - Evolution Marché'!$F:$K,6,0)</f>
        <v>25.530468354430379</v>
      </c>
    </row>
    <row r="766" spans="1:12" x14ac:dyDescent="0.3">
      <c r="A766" s="8" t="s">
        <v>23</v>
      </c>
      <c r="B766" s="11">
        <v>315</v>
      </c>
      <c r="C766" s="11" t="s">
        <v>6</v>
      </c>
      <c r="D766" s="11">
        <v>8</v>
      </c>
      <c r="E766" s="22">
        <v>32.03</v>
      </c>
      <c r="F766" s="11" t="s">
        <v>18</v>
      </c>
      <c r="G766" s="11" t="s">
        <v>15</v>
      </c>
      <c r="H766" s="12">
        <v>46630</v>
      </c>
      <c r="I766" s="11">
        <v>432</v>
      </c>
      <c r="J766" s="13">
        <v>504</v>
      </c>
      <c r="K766" t="str">
        <f t="shared" si="11"/>
        <v>DE315-SDR21</v>
      </c>
      <c r="L766">
        <f>VLOOKUP(K766,'[1]Tarif - Evolution Marché'!$F:$K,6,0)</f>
        <v>32.025061181434602</v>
      </c>
    </row>
    <row r="767" spans="1:12" x14ac:dyDescent="0.3">
      <c r="A767" s="14" t="s">
        <v>23</v>
      </c>
      <c r="B767" s="15">
        <v>355</v>
      </c>
      <c r="C767" s="15" t="s">
        <v>6</v>
      </c>
      <c r="D767" s="15">
        <v>8</v>
      </c>
      <c r="E767" s="22">
        <v>40.76</v>
      </c>
      <c r="F767" s="15" t="s">
        <v>18</v>
      </c>
      <c r="G767" s="15" t="s">
        <v>15</v>
      </c>
      <c r="H767" s="17">
        <v>46630</v>
      </c>
      <c r="I767" s="15">
        <v>360</v>
      </c>
      <c r="J767" s="18">
        <v>420</v>
      </c>
      <c r="K767" t="str">
        <f t="shared" si="11"/>
        <v>DE355-SDR21</v>
      </c>
      <c r="L767">
        <f>VLOOKUP(K767,'[1]Tarif - Evolution Marché'!$F:$K,6,0)</f>
        <v>40.759168776371304</v>
      </c>
    </row>
    <row r="768" spans="1:12" x14ac:dyDescent="0.3">
      <c r="A768" s="8" t="s">
        <v>23</v>
      </c>
      <c r="B768" s="11">
        <v>400</v>
      </c>
      <c r="C768" s="11" t="s">
        <v>6</v>
      </c>
      <c r="D768" s="11">
        <v>8</v>
      </c>
      <c r="E768" s="22">
        <v>51.73</v>
      </c>
      <c r="F768" s="11" t="s">
        <v>18</v>
      </c>
      <c r="G768" s="11" t="s">
        <v>15</v>
      </c>
      <c r="H768" s="12">
        <v>46630</v>
      </c>
      <c r="I768" s="11">
        <v>360</v>
      </c>
      <c r="J768" s="13">
        <v>420</v>
      </c>
      <c r="K768" t="str">
        <f t="shared" si="11"/>
        <v>DE400-SDR21</v>
      </c>
      <c r="L768">
        <f>VLOOKUP(K768,'[1]Tarif - Evolution Marché'!$F:$K,6,0)</f>
        <v>51.732791139240511</v>
      </c>
    </row>
    <row r="769" spans="1:12" x14ac:dyDescent="0.3">
      <c r="A769" s="14" t="s">
        <v>23</v>
      </c>
      <c r="B769" s="15">
        <v>450</v>
      </c>
      <c r="C769" s="15" t="s">
        <v>6</v>
      </c>
      <c r="D769" s="15">
        <v>8</v>
      </c>
      <c r="E769" s="22">
        <v>65.62</v>
      </c>
      <c r="F769" s="15" t="s">
        <v>18</v>
      </c>
      <c r="G769" s="15" t="s">
        <v>15</v>
      </c>
      <c r="H769" s="17">
        <v>46630</v>
      </c>
      <c r="I769" s="15">
        <v>192</v>
      </c>
      <c r="J769" s="18">
        <v>224</v>
      </c>
      <c r="K769" t="str">
        <f t="shared" si="11"/>
        <v>DE450-SDR21</v>
      </c>
      <c r="L769">
        <f>VLOOKUP(K769,'[1]Tarif - Evolution Marché'!$F:$K,6,0)</f>
        <v>65.617782700421941</v>
      </c>
    </row>
    <row r="770" spans="1:12" x14ac:dyDescent="0.3">
      <c r="A770" s="8" t="s">
        <v>23</v>
      </c>
      <c r="B770" s="11">
        <v>500</v>
      </c>
      <c r="C770" s="11" t="s">
        <v>6</v>
      </c>
      <c r="D770" s="11">
        <v>8</v>
      </c>
      <c r="E770" s="22">
        <v>80.849999999999994</v>
      </c>
      <c r="F770" s="11" t="s">
        <v>18</v>
      </c>
      <c r="G770" s="11" t="s">
        <v>15</v>
      </c>
      <c r="H770" s="12">
        <v>46630</v>
      </c>
      <c r="I770" s="11">
        <v>192</v>
      </c>
      <c r="J770" s="13">
        <v>224</v>
      </c>
      <c r="K770" t="str">
        <f t="shared" si="11"/>
        <v>DE500-SDR21</v>
      </c>
      <c r="L770">
        <f>VLOOKUP(K770,'[1]Tarif - Evolution Marché'!$F:$K,6,0)</f>
        <v>80.846483122362869</v>
      </c>
    </row>
    <row r="771" spans="1:12" x14ac:dyDescent="0.3">
      <c r="A771" s="14" t="s">
        <v>23</v>
      </c>
      <c r="B771" s="15">
        <v>560</v>
      </c>
      <c r="C771" s="15" t="s">
        <v>6</v>
      </c>
      <c r="D771" s="15">
        <v>8</v>
      </c>
      <c r="E771" s="22">
        <v>101.23</v>
      </c>
      <c r="F771" s="15" t="s">
        <v>18</v>
      </c>
      <c r="G771" s="15" t="s">
        <v>15</v>
      </c>
      <c r="H771" s="17">
        <v>46630</v>
      </c>
      <c r="I771" s="15">
        <v>192</v>
      </c>
      <c r="J771" s="18">
        <v>224</v>
      </c>
      <c r="K771" t="str">
        <f t="shared" ref="K771:K834" si="12">CONCATENATE("DE",B771,"-",C771)</f>
        <v>DE560-SDR21</v>
      </c>
      <c r="L771">
        <f>VLOOKUP(K771,'[1]Tarif - Evolution Marché'!$F:$K,6,0)</f>
        <v>101.22606751054853</v>
      </c>
    </row>
    <row r="772" spans="1:12" x14ac:dyDescent="0.3">
      <c r="A772" s="8" t="s">
        <v>23</v>
      </c>
      <c r="B772" s="11">
        <v>630</v>
      </c>
      <c r="C772" s="11" t="s">
        <v>6</v>
      </c>
      <c r="D772" s="11">
        <v>8</v>
      </c>
      <c r="E772" s="22">
        <v>127.65</v>
      </c>
      <c r="F772" s="11" t="s">
        <v>18</v>
      </c>
      <c r="G772" s="11" t="s">
        <v>15</v>
      </c>
      <c r="H772" s="12">
        <v>46630</v>
      </c>
      <c r="I772" s="11">
        <v>108</v>
      </c>
      <c r="J772" s="13">
        <v>126</v>
      </c>
      <c r="K772" t="str">
        <f t="shared" si="12"/>
        <v>DE630-SDR21</v>
      </c>
      <c r="L772">
        <f>VLOOKUP(K772,'[1]Tarif - Evolution Marché'!$F:$K,6,0)</f>
        <v>127.6523417721519</v>
      </c>
    </row>
    <row r="773" spans="1:12" x14ac:dyDescent="0.3">
      <c r="A773" s="14" t="s">
        <v>23</v>
      </c>
      <c r="B773" s="15">
        <v>710</v>
      </c>
      <c r="C773" s="15" t="s">
        <v>6</v>
      </c>
      <c r="D773" s="15">
        <v>8</v>
      </c>
      <c r="E773" s="22">
        <v>162.59</v>
      </c>
      <c r="F773" s="15" t="s">
        <v>18</v>
      </c>
      <c r="G773" s="15" t="s">
        <v>15</v>
      </c>
      <c r="H773" s="17">
        <v>46630</v>
      </c>
      <c r="I773" s="15">
        <v>108</v>
      </c>
      <c r="J773" s="18">
        <v>126</v>
      </c>
      <c r="K773" t="str">
        <f t="shared" si="12"/>
        <v>DE710-SDR21</v>
      </c>
      <c r="L773">
        <f>VLOOKUP(K773,'[1]Tarif - Evolution Marché'!$F:$K,6,0)</f>
        <v>162.58877215189872</v>
      </c>
    </row>
    <row r="774" spans="1:12" x14ac:dyDescent="0.3">
      <c r="A774" s="8" t="s">
        <v>23</v>
      </c>
      <c r="B774" s="11">
        <v>800</v>
      </c>
      <c r="C774" s="11" t="s">
        <v>6</v>
      </c>
      <c r="D774" s="11">
        <v>8</v>
      </c>
      <c r="E774" s="22">
        <v>206.04</v>
      </c>
      <c r="F774" s="11" t="s">
        <v>18</v>
      </c>
      <c r="G774" s="11" t="s">
        <v>15</v>
      </c>
      <c r="H774" s="12">
        <v>46630</v>
      </c>
      <c r="I774" s="11">
        <v>108</v>
      </c>
      <c r="J774" s="13">
        <v>126</v>
      </c>
      <c r="K774" t="str">
        <f t="shared" si="12"/>
        <v>DE800-SDR21</v>
      </c>
      <c r="L774">
        <f>VLOOKUP(K774,'[1]Tarif - Evolution Marché'!$F:$K,6,0)</f>
        <v>206.03535864978903</v>
      </c>
    </row>
    <row r="775" spans="1:12" x14ac:dyDescent="0.3">
      <c r="A775" s="14" t="s">
        <v>23</v>
      </c>
      <c r="B775" s="15">
        <v>900</v>
      </c>
      <c r="C775" s="15" t="s">
        <v>6</v>
      </c>
      <c r="D775" s="15">
        <v>8</v>
      </c>
      <c r="E775" s="22">
        <v>259.77999999999997</v>
      </c>
      <c r="F775" s="15" t="s">
        <v>18</v>
      </c>
      <c r="G775" s="15" t="s">
        <v>15</v>
      </c>
      <c r="H775" s="17">
        <v>46630</v>
      </c>
      <c r="I775" s="15">
        <v>72</v>
      </c>
      <c r="J775" s="18">
        <v>84</v>
      </c>
      <c r="K775" t="str">
        <f t="shared" si="12"/>
        <v>DE900-SDR21</v>
      </c>
      <c r="L775">
        <f>VLOOKUP(K775,'[1]Tarif - Evolution Marché'!$F:$K,6,0)</f>
        <v>259.78371308016875</v>
      </c>
    </row>
    <row r="776" spans="1:12" x14ac:dyDescent="0.3">
      <c r="A776" s="8" t="s">
        <v>23</v>
      </c>
      <c r="B776" s="11">
        <v>1000</v>
      </c>
      <c r="C776" s="11" t="s">
        <v>6</v>
      </c>
      <c r="D776" s="11">
        <v>8</v>
      </c>
      <c r="E776" s="22">
        <v>322.49</v>
      </c>
      <c r="F776" s="11" t="s">
        <v>18</v>
      </c>
      <c r="G776" s="11" t="s">
        <v>15</v>
      </c>
      <c r="H776" s="12">
        <v>46630</v>
      </c>
      <c r="I776" s="11">
        <v>48</v>
      </c>
      <c r="J776" s="13">
        <v>56</v>
      </c>
      <c r="K776" t="str">
        <f t="shared" si="12"/>
        <v>DE1000-SDR21</v>
      </c>
      <c r="L776">
        <f>VLOOKUP(K776,'[1]Tarif - Evolution Marché'!$F:$K,6,0)</f>
        <v>322.49012658227849</v>
      </c>
    </row>
    <row r="777" spans="1:12" x14ac:dyDescent="0.3">
      <c r="A777" s="14" t="s">
        <v>23</v>
      </c>
      <c r="B777" s="15">
        <v>1200</v>
      </c>
      <c r="C777" s="15" t="s">
        <v>6</v>
      </c>
      <c r="D777" s="15">
        <v>8</v>
      </c>
      <c r="E777" s="22">
        <v>463.58</v>
      </c>
      <c r="F777" s="15" t="s">
        <v>18</v>
      </c>
      <c r="G777" s="15" t="s">
        <v>15</v>
      </c>
      <c r="H777" s="17">
        <v>46630</v>
      </c>
      <c r="I777" s="15">
        <v>36</v>
      </c>
      <c r="J777" s="18">
        <v>42</v>
      </c>
      <c r="K777" t="str">
        <f t="shared" si="12"/>
        <v>DE1200-SDR21</v>
      </c>
      <c r="L777">
        <f>VLOOKUP(K777,'[1]Tarif - Evolution Marché'!$F:$K,6,0)</f>
        <v>463.57955696202532</v>
      </c>
    </row>
    <row r="778" spans="1:12" x14ac:dyDescent="0.3">
      <c r="A778" s="8" t="s">
        <v>23</v>
      </c>
      <c r="B778" s="11">
        <v>32</v>
      </c>
      <c r="C778" s="11" t="s">
        <v>7</v>
      </c>
      <c r="D778" s="11">
        <v>10</v>
      </c>
      <c r="E778" s="22">
        <v>0.44</v>
      </c>
      <c r="F778" s="11" t="s">
        <v>18</v>
      </c>
      <c r="G778" s="11" t="s">
        <v>15</v>
      </c>
      <c r="H778" s="12">
        <v>46630</v>
      </c>
      <c r="I778" s="12"/>
      <c r="J778" s="13"/>
      <c r="K778" t="str">
        <f t="shared" si="12"/>
        <v>DE32-SDR17</v>
      </c>
      <c r="L778">
        <f>VLOOKUP(K778,'[1]Tarif - Evolution Marché'!$F:$K,6,0)</f>
        <v>0.44342392405063291</v>
      </c>
    </row>
    <row r="779" spans="1:12" x14ac:dyDescent="0.3">
      <c r="A779" s="14" t="s">
        <v>23</v>
      </c>
      <c r="B779" s="15">
        <v>40</v>
      </c>
      <c r="C779" s="15" t="s">
        <v>7</v>
      </c>
      <c r="D779" s="15">
        <v>10</v>
      </c>
      <c r="E779" s="22">
        <v>0.67</v>
      </c>
      <c r="F779" s="15" t="s">
        <v>18</v>
      </c>
      <c r="G779" s="15" t="s">
        <v>15</v>
      </c>
      <c r="H779" s="17">
        <v>46630</v>
      </c>
      <c r="I779" s="17"/>
      <c r="J779" s="18"/>
      <c r="K779" t="str">
        <f t="shared" si="12"/>
        <v>DE40-SDR17</v>
      </c>
      <c r="L779">
        <f>VLOOKUP(K779,'[1]Tarif - Evolution Marché'!$F:$K,6,0)</f>
        <v>0.6696149156118143</v>
      </c>
    </row>
    <row r="780" spans="1:12" x14ac:dyDescent="0.3">
      <c r="A780" s="8" t="s">
        <v>23</v>
      </c>
      <c r="B780" s="11">
        <v>50</v>
      </c>
      <c r="C780" s="11" t="s">
        <v>7</v>
      </c>
      <c r="D780" s="11">
        <v>10</v>
      </c>
      <c r="E780" s="22">
        <v>1.03</v>
      </c>
      <c r="F780" s="11" t="s">
        <v>18</v>
      </c>
      <c r="G780" s="11" t="s">
        <v>15</v>
      </c>
      <c r="H780" s="12">
        <v>46630</v>
      </c>
      <c r="I780" s="12"/>
      <c r="J780" s="13"/>
      <c r="K780" t="str">
        <f t="shared" si="12"/>
        <v>DE50-SDR17</v>
      </c>
      <c r="L780">
        <f>VLOOKUP(K780,'[1]Tarif - Evolution Marché'!$F:$K,6,0)</f>
        <v>1.0256977637130802</v>
      </c>
    </row>
    <row r="781" spans="1:12" x14ac:dyDescent="0.3">
      <c r="A781" s="14" t="s">
        <v>23</v>
      </c>
      <c r="B781" s="15">
        <v>63</v>
      </c>
      <c r="C781" s="15" t="s">
        <v>7</v>
      </c>
      <c r="D781" s="15">
        <v>10</v>
      </c>
      <c r="E781" s="22">
        <v>1.63</v>
      </c>
      <c r="F781" s="15" t="s">
        <v>18</v>
      </c>
      <c r="G781" s="15" t="s">
        <v>15</v>
      </c>
      <c r="H781" s="17">
        <v>46630</v>
      </c>
      <c r="I781" s="17"/>
      <c r="J781" s="18"/>
      <c r="K781" t="str">
        <f t="shared" si="12"/>
        <v>DE63-SDR17</v>
      </c>
      <c r="L781">
        <f>VLOOKUP(K781,'[1]Tarif - Evolution Marché'!$F:$K,6,0)</f>
        <v>1.6303667510548523</v>
      </c>
    </row>
    <row r="782" spans="1:12" x14ac:dyDescent="0.3">
      <c r="A782" s="8" t="s">
        <v>23</v>
      </c>
      <c r="B782" s="11">
        <v>75</v>
      </c>
      <c r="C782" s="11" t="s">
        <v>7</v>
      </c>
      <c r="D782" s="11">
        <v>10</v>
      </c>
      <c r="E782" s="22">
        <v>2.31</v>
      </c>
      <c r="F782" s="11" t="s">
        <v>18</v>
      </c>
      <c r="G782" s="11" t="s">
        <v>15</v>
      </c>
      <c r="H782" s="12">
        <v>46630</v>
      </c>
      <c r="I782" s="12"/>
      <c r="J782" s="13"/>
      <c r="K782" t="str">
        <f t="shared" si="12"/>
        <v>DE75-SDR17</v>
      </c>
      <c r="L782">
        <f>VLOOKUP(K782,'[1]Tarif - Evolution Marché'!$F:$K,6,0)</f>
        <v>2.306700210970464</v>
      </c>
    </row>
    <row r="783" spans="1:12" x14ac:dyDescent="0.3">
      <c r="A783" s="14" t="s">
        <v>23</v>
      </c>
      <c r="B783" s="15">
        <v>90</v>
      </c>
      <c r="C783" s="15" t="s">
        <v>7</v>
      </c>
      <c r="D783" s="15">
        <v>10</v>
      </c>
      <c r="E783" s="22">
        <v>3.29</v>
      </c>
      <c r="F783" s="15" t="s">
        <v>18</v>
      </c>
      <c r="G783" s="15" t="s">
        <v>15</v>
      </c>
      <c r="H783" s="17">
        <v>46630</v>
      </c>
      <c r="I783" s="17"/>
      <c r="J783" s="18"/>
      <c r="K783" t="str">
        <f t="shared" si="12"/>
        <v>DE90-SDR17</v>
      </c>
      <c r="L783">
        <f>VLOOKUP(K783,'[1]Tarif - Evolution Marché'!$F:$K,6,0)</f>
        <v>3.2920867088607593</v>
      </c>
    </row>
    <row r="784" spans="1:12" x14ac:dyDescent="0.3">
      <c r="A784" s="8" t="s">
        <v>23</v>
      </c>
      <c r="B784" s="11">
        <v>110</v>
      </c>
      <c r="C784" s="11" t="s">
        <v>7</v>
      </c>
      <c r="D784" s="11">
        <v>10</v>
      </c>
      <c r="E784" s="22">
        <v>4.9000000000000004</v>
      </c>
      <c r="F784" s="11" t="s">
        <v>18</v>
      </c>
      <c r="G784" s="11" t="s">
        <v>15</v>
      </c>
      <c r="H784" s="12">
        <v>46630</v>
      </c>
      <c r="I784" s="12"/>
      <c r="J784" s="13"/>
      <c r="K784" t="str">
        <f t="shared" si="12"/>
        <v>DE110-SDR17</v>
      </c>
      <c r="L784">
        <f>VLOOKUP(K784,'[1]Tarif - Evolution Marché'!$F:$K,6,0)</f>
        <v>4.9045373417721514</v>
      </c>
    </row>
    <row r="785" spans="1:12" x14ac:dyDescent="0.3">
      <c r="A785" s="14" t="s">
        <v>23</v>
      </c>
      <c r="B785" s="15">
        <v>125</v>
      </c>
      <c r="C785" s="15" t="s">
        <v>7</v>
      </c>
      <c r="D785" s="15">
        <v>10</v>
      </c>
      <c r="E785" s="22">
        <v>6.25</v>
      </c>
      <c r="F785" s="15" t="s">
        <v>18</v>
      </c>
      <c r="G785" s="15" t="s">
        <v>15</v>
      </c>
      <c r="H785" s="17">
        <v>46630</v>
      </c>
      <c r="I785" s="15">
        <v>2400</v>
      </c>
      <c r="J785" s="18">
        <v>2800</v>
      </c>
      <c r="K785" t="str">
        <f t="shared" si="12"/>
        <v>DE125-SDR17</v>
      </c>
      <c r="L785">
        <f>VLOOKUP(K785,'[1]Tarif - Evolution Marché'!$F:$K,6,0)</f>
        <v>6.2482462025316456</v>
      </c>
    </row>
    <row r="786" spans="1:12" x14ac:dyDescent="0.3">
      <c r="A786" s="8" t="s">
        <v>23</v>
      </c>
      <c r="B786" s="11">
        <v>140</v>
      </c>
      <c r="C786" s="11" t="s">
        <v>7</v>
      </c>
      <c r="D786" s="11">
        <v>10</v>
      </c>
      <c r="E786" s="22">
        <v>7.84</v>
      </c>
      <c r="F786" s="11" t="s">
        <v>18</v>
      </c>
      <c r="G786" s="11" t="s">
        <v>15</v>
      </c>
      <c r="H786" s="12">
        <v>46630</v>
      </c>
      <c r="I786" s="11">
        <v>1920</v>
      </c>
      <c r="J786" s="13">
        <v>2240</v>
      </c>
      <c r="K786" t="str">
        <f t="shared" si="12"/>
        <v>DE140-SDR17</v>
      </c>
      <c r="L786">
        <f>VLOOKUP(K786,'[1]Tarif - Evolution Marché'!$F:$K,6,0)</f>
        <v>7.8383016877637131</v>
      </c>
    </row>
    <row r="787" spans="1:12" x14ac:dyDescent="0.3">
      <c r="A787" s="14" t="s">
        <v>23</v>
      </c>
      <c r="B787" s="15">
        <v>160</v>
      </c>
      <c r="C787" s="15" t="s">
        <v>7</v>
      </c>
      <c r="D787" s="15">
        <v>10</v>
      </c>
      <c r="E787" s="22">
        <v>10.23</v>
      </c>
      <c r="F787" s="15" t="s">
        <v>18</v>
      </c>
      <c r="G787" s="15" t="s">
        <v>15</v>
      </c>
      <c r="H787" s="17">
        <v>46630</v>
      </c>
      <c r="I787" s="15">
        <v>1920</v>
      </c>
      <c r="J787" s="18">
        <v>2240</v>
      </c>
      <c r="K787" t="str">
        <f t="shared" si="12"/>
        <v>DE160-SDR17</v>
      </c>
      <c r="L787">
        <f>VLOOKUP(K787,'[1]Tarif - Evolution Marché'!$F:$K,6,0)</f>
        <v>10.234582489451476</v>
      </c>
    </row>
    <row r="788" spans="1:12" x14ac:dyDescent="0.3">
      <c r="A788" s="8" t="s">
        <v>23</v>
      </c>
      <c r="B788" s="11">
        <v>180</v>
      </c>
      <c r="C788" s="11" t="s">
        <v>7</v>
      </c>
      <c r="D788" s="11">
        <v>10</v>
      </c>
      <c r="E788" s="22">
        <v>12.92</v>
      </c>
      <c r="F788" s="11" t="s">
        <v>18</v>
      </c>
      <c r="G788" s="11" t="s">
        <v>15</v>
      </c>
      <c r="H788" s="12">
        <v>46630</v>
      </c>
      <c r="I788" s="11">
        <v>1200</v>
      </c>
      <c r="J788" s="13">
        <v>1400</v>
      </c>
      <c r="K788" t="str">
        <f t="shared" si="12"/>
        <v>DE180-SDR17</v>
      </c>
      <c r="L788">
        <f>VLOOKUP(K788,'[1]Tarif - Evolution Marché'!$F:$K,6,0)</f>
        <v>12.922000210970463</v>
      </c>
    </row>
    <row r="789" spans="1:12" x14ac:dyDescent="0.3">
      <c r="A789" s="14" t="s">
        <v>23</v>
      </c>
      <c r="B789" s="15">
        <v>200</v>
      </c>
      <c r="C789" s="15" t="s">
        <v>7</v>
      </c>
      <c r="D789" s="15">
        <v>10</v>
      </c>
      <c r="E789" s="22">
        <v>15.95</v>
      </c>
      <c r="F789" s="15" t="s">
        <v>18</v>
      </c>
      <c r="G789" s="15" t="s">
        <v>15</v>
      </c>
      <c r="H789" s="17">
        <v>46630</v>
      </c>
      <c r="I789" s="15">
        <v>960</v>
      </c>
      <c r="J789" s="18">
        <v>1120</v>
      </c>
      <c r="K789" t="str">
        <f t="shared" si="12"/>
        <v>DE200-SDR17</v>
      </c>
      <c r="L789">
        <f>VLOOKUP(K789,'[1]Tarif - Evolution Marché'!$F:$K,6,0)</f>
        <v>15.945345147679324</v>
      </c>
    </row>
    <row r="790" spans="1:12" x14ac:dyDescent="0.3">
      <c r="A790" s="8" t="s">
        <v>23</v>
      </c>
      <c r="B790" s="11">
        <v>225</v>
      </c>
      <c r="C790" s="11" t="s">
        <v>7</v>
      </c>
      <c r="D790" s="11">
        <v>10</v>
      </c>
      <c r="E790" s="22">
        <v>20.22</v>
      </c>
      <c r="F790" s="11" t="s">
        <v>18</v>
      </c>
      <c r="G790" s="11" t="s">
        <v>15</v>
      </c>
      <c r="H790" s="12">
        <v>46630</v>
      </c>
      <c r="I790" s="11">
        <v>960</v>
      </c>
      <c r="J790" s="13">
        <v>1120</v>
      </c>
      <c r="K790" t="str">
        <f t="shared" si="12"/>
        <v>DE225-SDR17</v>
      </c>
      <c r="L790">
        <f>VLOOKUP(K790,'[1]Tarif - Evolution Marché'!$F:$K,6,0)</f>
        <v>20.222818354430377</v>
      </c>
    </row>
    <row r="791" spans="1:12" x14ac:dyDescent="0.3">
      <c r="A791" s="14" t="s">
        <v>23</v>
      </c>
      <c r="B791" s="15">
        <v>250</v>
      </c>
      <c r="C791" s="15" t="s">
        <v>7</v>
      </c>
      <c r="D791" s="15">
        <v>10</v>
      </c>
      <c r="E791" s="22">
        <v>24.86</v>
      </c>
      <c r="F791" s="15" t="s">
        <v>18</v>
      </c>
      <c r="G791" s="15" t="s">
        <v>15</v>
      </c>
      <c r="H791" s="17">
        <v>46630</v>
      </c>
      <c r="I791" s="15">
        <v>672</v>
      </c>
      <c r="J791" s="18">
        <v>784</v>
      </c>
      <c r="K791" t="str">
        <f t="shared" si="12"/>
        <v>DE250-SDR17</v>
      </c>
      <c r="L791">
        <f>VLOOKUP(K791,'[1]Tarif - Evolution Marché'!$F:$K,6,0)</f>
        <v>24.85861392405063</v>
      </c>
    </row>
    <row r="792" spans="1:12" x14ac:dyDescent="0.3">
      <c r="A792" s="8" t="s">
        <v>23</v>
      </c>
      <c r="B792" s="11">
        <v>280</v>
      </c>
      <c r="C792" s="11" t="s">
        <v>7</v>
      </c>
      <c r="D792" s="11">
        <v>10</v>
      </c>
      <c r="E792" s="22">
        <v>31.13</v>
      </c>
      <c r="F792" s="11" t="s">
        <v>18</v>
      </c>
      <c r="G792" s="11" t="s">
        <v>15</v>
      </c>
      <c r="H792" s="12">
        <v>46630</v>
      </c>
      <c r="I792" s="11">
        <v>672</v>
      </c>
      <c r="J792" s="13">
        <v>784</v>
      </c>
      <c r="K792" t="str">
        <f t="shared" si="12"/>
        <v>DE280-SDR17</v>
      </c>
      <c r="L792">
        <f>VLOOKUP(K792,'[1]Tarif - Evolution Marché'!$F:$K,6,0)</f>
        <v>31.129255274261602</v>
      </c>
    </row>
    <row r="793" spans="1:12" x14ac:dyDescent="0.3">
      <c r="A793" s="14" t="s">
        <v>23</v>
      </c>
      <c r="B793" s="15">
        <v>315</v>
      </c>
      <c r="C793" s="15" t="s">
        <v>7</v>
      </c>
      <c r="D793" s="15">
        <v>10</v>
      </c>
      <c r="E793" s="22">
        <v>39.42</v>
      </c>
      <c r="F793" s="15" t="s">
        <v>18</v>
      </c>
      <c r="G793" s="15" t="s">
        <v>15</v>
      </c>
      <c r="H793" s="17">
        <v>46630</v>
      </c>
      <c r="I793" s="15">
        <v>432</v>
      </c>
      <c r="J793" s="18">
        <v>504</v>
      </c>
      <c r="K793" t="str">
        <f t="shared" si="12"/>
        <v>DE315-SDR17</v>
      </c>
      <c r="L793">
        <f>VLOOKUP(K793,'[1]Tarif - Evolution Marché'!$F:$K,6,0)</f>
        <v>39.415459915611819</v>
      </c>
    </row>
    <row r="794" spans="1:12" x14ac:dyDescent="0.3">
      <c r="A794" s="8" t="s">
        <v>23</v>
      </c>
      <c r="B794" s="11">
        <v>355</v>
      </c>
      <c r="C794" s="11" t="s">
        <v>7</v>
      </c>
      <c r="D794" s="11">
        <v>10</v>
      </c>
      <c r="E794" s="22">
        <v>50.17</v>
      </c>
      <c r="F794" s="11" t="s">
        <v>18</v>
      </c>
      <c r="G794" s="11" t="s">
        <v>15</v>
      </c>
      <c r="H794" s="12">
        <v>46630</v>
      </c>
      <c r="I794" s="11">
        <v>360</v>
      </c>
      <c r="J794" s="13">
        <v>420</v>
      </c>
      <c r="K794" t="str">
        <f t="shared" si="12"/>
        <v>DE355-SDR17</v>
      </c>
      <c r="L794">
        <f>VLOOKUP(K794,'[1]Tarif - Evolution Marché'!$F:$K,6,0)</f>
        <v>50.165130801687759</v>
      </c>
    </row>
    <row r="795" spans="1:12" x14ac:dyDescent="0.3">
      <c r="A795" s="14" t="s">
        <v>23</v>
      </c>
      <c r="B795" s="15">
        <v>400</v>
      </c>
      <c r="C795" s="15" t="s">
        <v>7</v>
      </c>
      <c r="D795" s="15">
        <v>10</v>
      </c>
      <c r="E795" s="22">
        <v>63.38</v>
      </c>
      <c r="F795" s="15" t="s">
        <v>18</v>
      </c>
      <c r="G795" s="15" t="s">
        <v>15</v>
      </c>
      <c r="H795" s="17">
        <v>46630</v>
      </c>
      <c r="I795" s="15">
        <v>360</v>
      </c>
      <c r="J795" s="18">
        <v>420</v>
      </c>
      <c r="K795" t="str">
        <f t="shared" si="12"/>
        <v>DE400-SDR17</v>
      </c>
      <c r="L795">
        <f>VLOOKUP(K795,'[1]Tarif - Evolution Marché'!$F:$K,6,0)</f>
        <v>63.37826793248945</v>
      </c>
    </row>
    <row r="796" spans="1:12" x14ac:dyDescent="0.3">
      <c r="A796" s="8" t="s">
        <v>23</v>
      </c>
      <c r="B796" s="11">
        <v>450</v>
      </c>
      <c r="C796" s="11" t="s">
        <v>7</v>
      </c>
      <c r="D796" s="11">
        <v>10</v>
      </c>
      <c r="E796" s="22">
        <v>80.17</v>
      </c>
      <c r="F796" s="11" t="s">
        <v>18</v>
      </c>
      <c r="G796" s="11" t="s">
        <v>15</v>
      </c>
      <c r="H796" s="12">
        <v>46630</v>
      </c>
      <c r="I796" s="11">
        <v>192</v>
      </c>
      <c r="J796" s="13">
        <v>224</v>
      </c>
      <c r="K796" t="str">
        <f t="shared" si="12"/>
        <v>DE450-SDR17</v>
      </c>
      <c r="L796">
        <f>VLOOKUP(K796,'[1]Tarif - Evolution Marché'!$F:$K,6,0)</f>
        <v>80.174628691983116</v>
      </c>
    </row>
    <row r="797" spans="1:12" x14ac:dyDescent="0.3">
      <c r="A797" s="14" t="s">
        <v>23</v>
      </c>
      <c r="B797" s="15">
        <v>500</v>
      </c>
      <c r="C797" s="15" t="s">
        <v>7</v>
      </c>
      <c r="D797" s="15">
        <v>10</v>
      </c>
      <c r="E797" s="22">
        <v>98.99</v>
      </c>
      <c r="F797" s="15" t="s">
        <v>18</v>
      </c>
      <c r="G797" s="15" t="s">
        <v>15</v>
      </c>
      <c r="H797" s="17">
        <v>46630</v>
      </c>
      <c r="I797" s="15">
        <v>192</v>
      </c>
      <c r="J797" s="18">
        <v>224</v>
      </c>
      <c r="K797" t="str">
        <f t="shared" si="12"/>
        <v>DE500-SDR17</v>
      </c>
      <c r="L797">
        <f>VLOOKUP(K797,'[1]Tarif - Evolution Marché'!$F:$K,6,0)</f>
        <v>98.986552742616041</v>
      </c>
    </row>
    <row r="798" spans="1:12" x14ac:dyDescent="0.3">
      <c r="A798" s="8" t="s">
        <v>23</v>
      </c>
      <c r="B798" s="11">
        <v>560</v>
      </c>
      <c r="C798" s="11" t="s">
        <v>7</v>
      </c>
      <c r="D798" s="11">
        <v>10</v>
      </c>
      <c r="E798" s="22">
        <v>124.07</v>
      </c>
      <c r="F798" s="11" t="s">
        <v>18</v>
      </c>
      <c r="G798" s="11" t="s">
        <v>15</v>
      </c>
      <c r="H798" s="12">
        <v>46630</v>
      </c>
      <c r="I798" s="11">
        <v>192</v>
      </c>
      <c r="J798" s="13">
        <v>224</v>
      </c>
      <c r="K798" t="str">
        <f t="shared" si="12"/>
        <v>DE560-SDR17</v>
      </c>
      <c r="L798">
        <f>VLOOKUP(K798,'[1]Tarif - Evolution Marché'!$F:$K,6,0)</f>
        <v>124.0691181434599</v>
      </c>
    </row>
    <row r="799" spans="1:12" x14ac:dyDescent="0.3">
      <c r="A799" s="14" t="s">
        <v>23</v>
      </c>
      <c r="B799" s="15">
        <v>630</v>
      </c>
      <c r="C799" s="15" t="s">
        <v>7</v>
      </c>
      <c r="D799" s="15">
        <v>10</v>
      </c>
      <c r="E799" s="22">
        <v>157.21</v>
      </c>
      <c r="F799" s="15" t="s">
        <v>18</v>
      </c>
      <c r="G799" s="15" t="s">
        <v>15</v>
      </c>
      <c r="H799" s="17">
        <v>46630</v>
      </c>
      <c r="I799" s="15">
        <v>108</v>
      </c>
      <c r="J799" s="18">
        <v>126</v>
      </c>
      <c r="K799" t="str">
        <f t="shared" si="12"/>
        <v>DE630-SDR17</v>
      </c>
      <c r="L799">
        <f>VLOOKUP(K799,'[1]Tarif - Evolution Marché'!$F:$K,6,0)</f>
        <v>157.21393670886076</v>
      </c>
    </row>
    <row r="800" spans="1:12" x14ac:dyDescent="0.3">
      <c r="A800" s="8" t="s">
        <v>23</v>
      </c>
      <c r="B800" s="11">
        <v>710</v>
      </c>
      <c r="C800" s="11" t="s">
        <v>7</v>
      </c>
      <c r="D800" s="11">
        <v>10</v>
      </c>
      <c r="E800" s="22">
        <v>199.32</v>
      </c>
      <c r="F800" s="11" t="s">
        <v>18</v>
      </c>
      <c r="G800" s="11" t="s">
        <v>15</v>
      </c>
      <c r="H800" s="12">
        <v>46630</v>
      </c>
      <c r="I800" s="11">
        <v>108</v>
      </c>
      <c r="J800" s="13">
        <v>126</v>
      </c>
      <c r="K800" t="str">
        <f t="shared" si="12"/>
        <v>DE710-SDR17</v>
      </c>
      <c r="L800">
        <f>VLOOKUP(K800,'[1]Tarif - Evolution Marché'!$F:$K,6,0)</f>
        <v>199.31681434599156</v>
      </c>
    </row>
    <row r="801" spans="1:12" x14ac:dyDescent="0.3">
      <c r="A801" s="14" t="s">
        <v>23</v>
      </c>
      <c r="B801" s="15">
        <v>800</v>
      </c>
      <c r="C801" s="15" t="s">
        <v>7</v>
      </c>
      <c r="D801" s="15">
        <v>10</v>
      </c>
      <c r="E801" s="22">
        <v>253.07</v>
      </c>
      <c r="F801" s="15" t="s">
        <v>18</v>
      </c>
      <c r="G801" s="15" t="s">
        <v>15</v>
      </c>
      <c r="H801" s="17">
        <v>46630</v>
      </c>
      <c r="I801" s="15">
        <v>108</v>
      </c>
      <c r="J801" s="18">
        <v>126</v>
      </c>
      <c r="K801" t="str">
        <f t="shared" si="12"/>
        <v>DE800-SDR17</v>
      </c>
      <c r="L801">
        <f>VLOOKUP(K801,'[1]Tarif - Evolution Marché'!$F:$K,6,0)</f>
        <v>253.06516877637131</v>
      </c>
    </row>
    <row r="802" spans="1:12" x14ac:dyDescent="0.3">
      <c r="A802" s="8" t="s">
        <v>23</v>
      </c>
      <c r="B802" s="11">
        <v>900</v>
      </c>
      <c r="C802" s="11" t="s">
        <v>7</v>
      </c>
      <c r="D802" s="11">
        <v>10</v>
      </c>
      <c r="E802" s="22">
        <v>320.25</v>
      </c>
      <c r="F802" s="11" t="s">
        <v>18</v>
      </c>
      <c r="G802" s="11" t="s">
        <v>15</v>
      </c>
      <c r="H802" s="12">
        <v>46630</v>
      </c>
      <c r="I802" s="11">
        <v>72</v>
      </c>
      <c r="J802" s="13">
        <v>84</v>
      </c>
      <c r="K802" t="str">
        <f t="shared" si="12"/>
        <v>DE900-SDR17</v>
      </c>
      <c r="L802">
        <f>VLOOKUP(K802,'[1]Tarif - Evolution Marché'!$F:$K,6,0)</f>
        <v>320.25061181434597</v>
      </c>
    </row>
    <row r="803" spans="1:12" x14ac:dyDescent="0.3">
      <c r="A803" s="14" t="s">
        <v>23</v>
      </c>
      <c r="B803" s="15">
        <v>1000</v>
      </c>
      <c r="C803" s="15" t="s">
        <v>7</v>
      </c>
      <c r="D803" s="15">
        <v>10</v>
      </c>
      <c r="E803" s="22">
        <v>394.15</v>
      </c>
      <c r="F803" s="15" t="s">
        <v>18</v>
      </c>
      <c r="G803" s="15" t="s">
        <v>15</v>
      </c>
      <c r="H803" s="17">
        <v>46630</v>
      </c>
      <c r="I803" s="15">
        <v>48</v>
      </c>
      <c r="J803" s="18">
        <v>56</v>
      </c>
      <c r="K803" t="str">
        <f t="shared" si="12"/>
        <v>DE1000-SDR17</v>
      </c>
      <c r="L803">
        <f>VLOOKUP(K803,'[1]Tarif - Evolution Marché'!$F:$K,6,0)</f>
        <v>394.15459915611814</v>
      </c>
    </row>
    <row r="804" spans="1:12" x14ac:dyDescent="0.3">
      <c r="A804" s="8" t="s">
        <v>23</v>
      </c>
      <c r="B804" s="11">
        <v>25</v>
      </c>
      <c r="C804" s="11" t="s">
        <v>8</v>
      </c>
      <c r="D804" s="11">
        <v>12.5</v>
      </c>
      <c r="E804" s="22">
        <v>0.34</v>
      </c>
      <c r="F804" s="11" t="s">
        <v>18</v>
      </c>
      <c r="G804" s="11" t="s">
        <v>15</v>
      </c>
      <c r="H804" s="12">
        <v>46630</v>
      </c>
      <c r="I804" s="12"/>
      <c r="J804" s="13"/>
      <c r="K804" t="str">
        <f t="shared" si="12"/>
        <v>DE25-SDR13,6</v>
      </c>
      <c r="L804">
        <f>VLOOKUP(K804,'[1]Tarif - Evolution Marché'!$F:$K,6,0)</f>
        <v>0.33816672995780589</v>
      </c>
    </row>
    <row r="805" spans="1:12" x14ac:dyDescent="0.3">
      <c r="A805" s="14" t="s">
        <v>23</v>
      </c>
      <c r="B805" s="15">
        <v>32</v>
      </c>
      <c r="C805" s="15" t="s">
        <v>8</v>
      </c>
      <c r="D805" s="15">
        <v>12.5</v>
      </c>
      <c r="E805" s="22">
        <v>0.53</v>
      </c>
      <c r="F805" s="15" t="s">
        <v>18</v>
      </c>
      <c r="G805" s="15" t="s">
        <v>15</v>
      </c>
      <c r="H805" s="17">
        <v>46630</v>
      </c>
      <c r="I805" s="17"/>
      <c r="J805" s="18"/>
      <c r="K805" t="str">
        <f t="shared" si="12"/>
        <v>DE32-SDR13,6</v>
      </c>
      <c r="L805">
        <f>VLOOKUP(K805,'[1]Tarif - Evolution Marché'!$F:$K,6,0)</f>
        <v>0.52628597046413494</v>
      </c>
    </row>
    <row r="806" spans="1:12" x14ac:dyDescent="0.3">
      <c r="A806" s="8" t="s">
        <v>23</v>
      </c>
      <c r="B806" s="11">
        <v>40</v>
      </c>
      <c r="C806" s="11" t="s">
        <v>8</v>
      </c>
      <c r="D806" s="11">
        <v>12.5</v>
      </c>
      <c r="E806" s="22">
        <v>0.81</v>
      </c>
      <c r="F806" s="11" t="s">
        <v>18</v>
      </c>
      <c r="G806" s="11" t="s">
        <v>15</v>
      </c>
      <c r="H806" s="12">
        <v>46630</v>
      </c>
      <c r="I806" s="12"/>
      <c r="J806" s="13"/>
      <c r="K806" t="str">
        <f t="shared" si="12"/>
        <v>DE40-SDR13,6</v>
      </c>
      <c r="L806">
        <f>VLOOKUP(K806,'[1]Tarif - Evolution Marché'!$F:$K,6,0)</f>
        <v>0.80622531645569617</v>
      </c>
    </row>
    <row r="807" spans="1:12" x14ac:dyDescent="0.3">
      <c r="A807" s="14" t="s">
        <v>23</v>
      </c>
      <c r="B807" s="15">
        <v>50</v>
      </c>
      <c r="C807" s="15" t="s">
        <v>8</v>
      </c>
      <c r="D807" s="15">
        <v>12.5</v>
      </c>
      <c r="E807" s="22">
        <v>1.24</v>
      </c>
      <c r="F807" s="15" t="s">
        <v>18</v>
      </c>
      <c r="G807" s="15" t="s">
        <v>15</v>
      </c>
      <c r="H807" s="17">
        <v>46630</v>
      </c>
      <c r="I807" s="17"/>
      <c r="J807" s="18"/>
      <c r="K807" t="str">
        <f t="shared" si="12"/>
        <v>DE50-SDR13,6</v>
      </c>
      <c r="L807">
        <f>VLOOKUP(K807,'[1]Tarif - Evolution Marché'!$F:$K,6,0)</f>
        <v>1.2429306962025317</v>
      </c>
    </row>
    <row r="808" spans="1:12" x14ac:dyDescent="0.3">
      <c r="A808" s="8" t="s">
        <v>23</v>
      </c>
      <c r="B808" s="11">
        <v>63</v>
      </c>
      <c r="C808" s="11" t="s">
        <v>8</v>
      </c>
      <c r="D808" s="11">
        <v>12.5</v>
      </c>
      <c r="E808" s="22">
        <v>1.98</v>
      </c>
      <c r="F808" s="11" t="s">
        <v>18</v>
      </c>
      <c r="G808" s="11" t="s">
        <v>15</v>
      </c>
      <c r="H808" s="12">
        <v>46630</v>
      </c>
      <c r="I808" s="12"/>
      <c r="J808" s="13"/>
      <c r="K808" t="str">
        <f t="shared" si="12"/>
        <v>DE63-SDR13,6</v>
      </c>
      <c r="L808">
        <f>VLOOKUP(K808,'[1]Tarif - Evolution Marché'!$F:$K,6,0)</f>
        <v>1.9774915400843882</v>
      </c>
    </row>
    <row r="809" spans="1:12" x14ac:dyDescent="0.3">
      <c r="A809" s="14" t="s">
        <v>23</v>
      </c>
      <c r="B809" s="15">
        <v>75</v>
      </c>
      <c r="C809" s="15" t="s">
        <v>8</v>
      </c>
      <c r="D809" s="15">
        <v>12.5</v>
      </c>
      <c r="E809" s="22">
        <v>2.8</v>
      </c>
      <c r="F809" s="15" t="s">
        <v>18</v>
      </c>
      <c r="G809" s="15" t="s">
        <v>15</v>
      </c>
      <c r="H809" s="17">
        <v>46630</v>
      </c>
      <c r="I809" s="17"/>
      <c r="J809" s="18"/>
      <c r="K809" t="str">
        <f t="shared" si="12"/>
        <v>DE75-SDR13,6</v>
      </c>
      <c r="L809">
        <f>VLOOKUP(K809,'[1]Tarif - Evolution Marché'!$F:$K,6,0)</f>
        <v>2.7993934599156116</v>
      </c>
    </row>
    <row r="810" spans="1:12" x14ac:dyDescent="0.3">
      <c r="A810" s="8" t="s">
        <v>23</v>
      </c>
      <c r="B810" s="11">
        <v>90</v>
      </c>
      <c r="C810" s="11" t="s">
        <v>8</v>
      </c>
      <c r="D810" s="11">
        <v>12.5</v>
      </c>
      <c r="E810" s="22">
        <v>4.01</v>
      </c>
      <c r="F810" s="11" t="s">
        <v>18</v>
      </c>
      <c r="G810" s="11" t="s">
        <v>15</v>
      </c>
      <c r="H810" s="12">
        <v>46630</v>
      </c>
      <c r="I810" s="12"/>
      <c r="J810" s="13"/>
      <c r="K810" t="str">
        <f t="shared" si="12"/>
        <v>DE90-SDR13,6</v>
      </c>
      <c r="L810">
        <f>VLOOKUP(K810,'[1]Tarif - Evolution Marché'!$F:$K,6,0)</f>
        <v>4.0087314345991558</v>
      </c>
    </row>
    <row r="811" spans="1:12" x14ac:dyDescent="0.3">
      <c r="A811" s="14" t="s">
        <v>23</v>
      </c>
      <c r="B811" s="15">
        <v>110</v>
      </c>
      <c r="C811" s="15" t="s">
        <v>8</v>
      </c>
      <c r="D811" s="15">
        <v>12.5</v>
      </c>
      <c r="E811" s="22">
        <v>5.91</v>
      </c>
      <c r="F811" s="15" t="s">
        <v>18</v>
      </c>
      <c r="G811" s="15" t="s">
        <v>15</v>
      </c>
      <c r="H811" s="17">
        <v>46630</v>
      </c>
      <c r="I811" s="17"/>
      <c r="J811" s="18"/>
      <c r="K811" t="str">
        <f t="shared" si="12"/>
        <v>DE110-SDR13,6</v>
      </c>
      <c r="L811">
        <f>VLOOKUP(K811,'[1]Tarif - Evolution Marché'!$F:$K,6,0)</f>
        <v>5.9123189873417719</v>
      </c>
    </row>
    <row r="812" spans="1:12" x14ac:dyDescent="0.3">
      <c r="A812" s="8" t="s">
        <v>23</v>
      </c>
      <c r="B812" s="11">
        <v>125</v>
      </c>
      <c r="C812" s="11" t="s">
        <v>8</v>
      </c>
      <c r="D812" s="11">
        <v>12.5</v>
      </c>
      <c r="E812" s="22">
        <v>7.61</v>
      </c>
      <c r="F812" s="11" t="s">
        <v>18</v>
      </c>
      <c r="G812" s="11" t="s">
        <v>15</v>
      </c>
      <c r="H812" s="12">
        <v>46630</v>
      </c>
      <c r="I812" s="11">
        <v>2400</v>
      </c>
      <c r="J812" s="13">
        <v>2800</v>
      </c>
      <c r="K812" t="str">
        <f t="shared" si="12"/>
        <v>DE125-SDR13,6</v>
      </c>
      <c r="L812">
        <f>VLOOKUP(K812,'[1]Tarif - Evolution Marché'!$F:$K,6,0)</f>
        <v>7.6143502109704633</v>
      </c>
    </row>
    <row r="813" spans="1:12" x14ac:dyDescent="0.3">
      <c r="A813" s="14" t="s">
        <v>23</v>
      </c>
      <c r="B813" s="15">
        <v>140</v>
      </c>
      <c r="C813" s="15" t="s">
        <v>8</v>
      </c>
      <c r="D813" s="15">
        <v>12.5</v>
      </c>
      <c r="E813" s="22">
        <v>9.5399999999999991</v>
      </c>
      <c r="F813" s="15" t="s">
        <v>18</v>
      </c>
      <c r="G813" s="15" t="s">
        <v>15</v>
      </c>
      <c r="H813" s="17">
        <v>46630</v>
      </c>
      <c r="I813" s="15">
        <v>1920</v>
      </c>
      <c r="J813" s="18">
        <v>2240</v>
      </c>
      <c r="K813" t="str">
        <f t="shared" si="12"/>
        <v>DE140-SDR13,6</v>
      </c>
      <c r="L813">
        <f>VLOOKUP(K813,'[1]Tarif - Evolution Marché'!$F:$K,6,0)</f>
        <v>9.5403329113924045</v>
      </c>
    </row>
    <row r="814" spans="1:12" x14ac:dyDescent="0.3">
      <c r="A814" s="8" t="s">
        <v>23</v>
      </c>
      <c r="B814" s="11">
        <v>160</v>
      </c>
      <c r="C814" s="11" t="s">
        <v>8</v>
      </c>
      <c r="D814" s="11">
        <v>12.5</v>
      </c>
      <c r="E814" s="22">
        <v>12.45</v>
      </c>
      <c r="F814" s="11" t="s">
        <v>18</v>
      </c>
      <c r="G814" s="11" t="s">
        <v>15</v>
      </c>
      <c r="H814" s="12">
        <v>46630</v>
      </c>
      <c r="I814" s="11">
        <v>1920</v>
      </c>
      <c r="J814" s="13">
        <v>2240</v>
      </c>
      <c r="K814" t="str">
        <f t="shared" si="12"/>
        <v>DE160-SDR13,6</v>
      </c>
      <c r="L814">
        <f>VLOOKUP(K814,'[1]Tarif - Evolution Marché'!$F:$K,6,0)</f>
        <v>12.451702109704639</v>
      </c>
    </row>
    <row r="815" spans="1:12" x14ac:dyDescent="0.3">
      <c r="A815" s="14" t="s">
        <v>23</v>
      </c>
      <c r="B815" s="15">
        <v>180</v>
      </c>
      <c r="C815" s="15" t="s">
        <v>8</v>
      </c>
      <c r="D815" s="15">
        <v>12.5</v>
      </c>
      <c r="E815" s="22">
        <v>15.79</v>
      </c>
      <c r="F815" s="15" t="s">
        <v>18</v>
      </c>
      <c r="G815" s="15" t="s">
        <v>15</v>
      </c>
      <c r="H815" s="17">
        <v>46630</v>
      </c>
      <c r="I815" s="15">
        <v>1200</v>
      </c>
      <c r="J815" s="18">
        <v>1400</v>
      </c>
      <c r="K815" t="str">
        <f t="shared" si="12"/>
        <v>DE180-SDR13,6</v>
      </c>
      <c r="L815">
        <f>VLOOKUP(K815,'[1]Tarif - Evolution Marché'!$F:$K,6,0)</f>
        <v>15.788579113924049</v>
      </c>
    </row>
    <row r="816" spans="1:12" x14ac:dyDescent="0.3">
      <c r="A816" s="8" t="s">
        <v>23</v>
      </c>
      <c r="B816" s="11">
        <v>200</v>
      </c>
      <c r="C816" s="11" t="s">
        <v>8</v>
      </c>
      <c r="D816" s="11">
        <v>12.5</v>
      </c>
      <c r="E816" s="22">
        <v>19.37</v>
      </c>
      <c r="F816" s="11" t="s">
        <v>18</v>
      </c>
      <c r="G816" s="11" t="s">
        <v>15</v>
      </c>
      <c r="H816" s="12">
        <v>46630</v>
      </c>
      <c r="I816" s="11">
        <v>960</v>
      </c>
      <c r="J816" s="13">
        <v>1120</v>
      </c>
      <c r="K816" t="str">
        <f t="shared" si="12"/>
        <v>DE200-SDR13,6</v>
      </c>
      <c r="L816">
        <f>VLOOKUP(K816,'[1]Tarif - Evolution Marché'!$F:$K,6,0)</f>
        <v>19.371802742616033</v>
      </c>
    </row>
    <row r="817" spans="1:12" x14ac:dyDescent="0.3">
      <c r="A817" s="14" t="s">
        <v>23</v>
      </c>
      <c r="B817" s="15">
        <v>225</v>
      </c>
      <c r="C817" s="15" t="s">
        <v>8</v>
      </c>
      <c r="D817" s="15">
        <v>12.5</v>
      </c>
      <c r="E817" s="22">
        <v>24.63</v>
      </c>
      <c r="F817" s="15" t="s">
        <v>18</v>
      </c>
      <c r="G817" s="15" t="s">
        <v>15</v>
      </c>
      <c r="H817" s="17">
        <v>46630</v>
      </c>
      <c r="I817" s="15">
        <v>960</v>
      </c>
      <c r="J817" s="18">
        <v>1120</v>
      </c>
      <c r="K817" t="str">
        <f t="shared" si="12"/>
        <v>DE225-SDR13,6</v>
      </c>
      <c r="L817">
        <f>VLOOKUP(K817,'[1]Tarif - Evolution Marché'!$F:$K,6,0)</f>
        <v>24.634662447257384</v>
      </c>
    </row>
    <row r="818" spans="1:12" x14ac:dyDescent="0.3">
      <c r="A818" s="8" t="s">
        <v>23</v>
      </c>
      <c r="B818" s="11">
        <v>250</v>
      </c>
      <c r="C818" s="11" t="s">
        <v>8</v>
      </c>
      <c r="D818" s="11">
        <v>12.5</v>
      </c>
      <c r="E818" s="22">
        <v>30.23</v>
      </c>
      <c r="F818" s="11" t="s">
        <v>18</v>
      </c>
      <c r="G818" s="11" t="s">
        <v>15</v>
      </c>
      <c r="H818" s="12">
        <v>46630</v>
      </c>
      <c r="I818" s="11">
        <v>672</v>
      </c>
      <c r="J818" s="13">
        <v>784</v>
      </c>
      <c r="K818" t="str">
        <f t="shared" si="12"/>
        <v>DE250-SDR13,6</v>
      </c>
      <c r="L818">
        <f>VLOOKUP(K818,'[1]Tarif - Evolution Marché'!$F:$K,6,0)</f>
        <v>30.233449367088607</v>
      </c>
    </row>
    <row r="819" spans="1:12" x14ac:dyDescent="0.3">
      <c r="A819" s="14" t="s">
        <v>23</v>
      </c>
      <c r="B819" s="15">
        <v>280</v>
      </c>
      <c r="C819" s="15" t="s">
        <v>8</v>
      </c>
      <c r="D819" s="15">
        <v>12.5</v>
      </c>
      <c r="E819" s="22">
        <v>37.85</v>
      </c>
      <c r="F819" s="15" t="s">
        <v>18</v>
      </c>
      <c r="G819" s="15" t="s">
        <v>15</v>
      </c>
      <c r="H819" s="17">
        <v>46630</v>
      </c>
      <c r="I819" s="15">
        <v>672</v>
      </c>
      <c r="J819" s="18">
        <v>784</v>
      </c>
      <c r="K819" t="str">
        <f t="shared" si="12"/>
        <v>DE280-SDR13,6</v>
      </c>
      <c r="L819">
        <f>VLOOKUP(K819,'[1]Tarif - Evolution Marché'!$F:$K,6,0)</f>
        <v>37.847799578059067</v>
      </c>
    </row>
    <row r="820" spans="1:12" x14ac:dyDescent="0.3">
      <c r="A820" s="8" t="s">
        <v>23</v>
      </c>
      <c r="B820" s="11">
        <v>315</v>
      </c>
      <c r="C820" s="11" t="s">
        <v>8</v>
      </c>
      <c r="D820" s="11">
        <v>12.5</v>
      </c>
      <c r="E820" s="22">
        <v>48.15</v>
      </c>
      <c r="F820" s="11" t="s">
        <v>18</v>
      </c>
      <c r="G820" s="11" t="s">
        <v>15</v>
      </c>
      <c r="H820" s="12">
        <v>46630</v>
      </c>
      <c r="I820" s="11">
        <v>432</v>
      </c>
      <c r="J820" s="13">
        <v>504</v>
      </c>
      <c r="K820" t="str">
        <f t="shared" si="12"/>
        <v>DE315-SDR13,6</v>
      </c>
      <c r="L820">
        <f>VLOOKUP(K820,'[1]Tarif - Evolution Marché'!$F:$K,6,0)</f>
        <v>48.149567510548522</v>
      </c>
    </row>
    <row r="821" spans="1:12" x14ac:dyDescent="0.3">
      <c r="A821" s="14" t="s">
        <v>23</v>
      </c>
      <c r="B821" s="15">
        <v>355</v>
      </c>
      <c r="C821" s="15" t="s">
        <v>8</v>
      </c>
      <c r="D821" s="15">
        <v>12.5</v>
      </c>
      <c r="E821" s="22">
        <v>60.91</v>
      </c>
      <c r="F821" s="15" t="s">
        <v>18</v>
      </c>
      <c r="G821" s="15" t="s">
        <v>15</v>
      </c>
      <c r="H821" s="17">
        <v>46630</v>
      </c>
      <c r="I821" s="15">
        <v>360</v>
      </c>
      <c r="J821" s="18">
        <v>420</v>
      </c>
      <c r="K821" t="str">
        <f t="shared" si="12"/>
        <v>DE355-SDR13,6</v>
      </c>
      <c r="L821">
        <f>VLOOKUP(K821,'[1]Tarif - Evolution Marché'!$F:$K,6,0)</f>
        <v>60.914801687763706</v>
      </c>
    </row>
    <row r="822" spans="1:12" x14ac:dyDescent="0.3">
      <c r="A822" s="8" t="s">
        <v>23</v>
      </c>
      <c r="B822" s="11">
        <v>400</v>
      </c>
      <c r="C822" s="11" t="s">
        <v>8</v>
      </c>
      <c r="D822" s="11">
        <v>12.5</v>
      </c>
      <c r="E822" s="22">
        <v>77.260000000000005</v>
      </c>
      <c r="F822" s="11" t="s">
        <v>18</v>
      </c>
      <c r="G822" s="11" t="s">
        <v>15</v>
      </c>
      <c r="H822" s="12">
        <v>46630</v>
      </c>
      <c r="I822" s="11">
        <v>360</v>
      </c>
      <c r="J822" s="13">
        <v>420</v>
      </c>
      <c r="K822" t="str">
        <f t="shared" si="12"/>
        <v>DE400-SDR13,6</v>
      </c>
      <c r="L822">
        <f>VLOOKUP(K822,'[1]Tarif - Evolution Marché'!$F:$K,6,0)</f>
        <v>77.263259493670887</v>
      </c>
    </row>
    <row r="823" spans="1:12" x14ac:dyDescent="0.3">
      <c r="A823" s="14" t="s">
        <v>23</v>
      </c>
      <c r="B823" s="15">
        <v>450</v>
      </c>
      <c r="C823" s="15" t="s">
        <v>8</v>
      </c>
      <c r="D823" s="15">
        <v>12.5</v>
      </c>
      <c r="E823" s="22">
        <v>97.87</v>
      </c>
      <c r="F823" s="15" t="s">
        <v>18</v>
      </c>
      <c r="G823" s="15" t="s">
        <v>15</v>
      </c>
      <c r="H823" s="17">
        <v>46630</v>
      </c>
      <c r="I823" s="15">
        <v>192</v>
      </c>
      <c r="J823" s="18">
        <v>224</v>
      </c>
      <c r="K823" t="str">
        <f t="shared" si="12"/>
        <v>DE450-SDR13,6</v>
      </c>
      <c r="L823">
        <f>VLOOKUP(K823,'[1]Tarif - Evolution Marché'!$F:$K,6,0)</f>
        <v>97.866795358649796</v>
      </c>
    </row>
    <row r="824" spans="1:12" x14ac:dyDescent="0.3">
      <c r="A824" s="8" t="s">
        <v>23</v>
      </c>
      <c r="B824" s="11">
        <v>500</v>
      </c>
      <c r="C824" s="11" t="s">
        <v>8</v>
      </c>
      <c r="D824" s="11">
        <v>12.5</v>
      </c>
      <c r="E824" s="22">
        <v>120.71</v>
      </c>
      <c r="F824" s="11" t="s">
        <v>18</v>
      </c>
      <c r="G824" s="11" t="s">
        <v>15</v>
      </c>
      <c r="H824" s="12">
        <v>46630</v>
      </c>
      <c r="I824" s="11">
        <v>192</v>
      </c>
      <c r="J824" s="13">
        <v>224</v>
      </c>
      <c r="K824" t="str">
        <f t="shared" si="12"/>
        <v>DE500-SDR13,6</v>
      </c>
      <c r="L824">
        <f>VLOOKUP(K824,'[1]Tarif - Evolution Marché'!$F:$K,6,0)</f>
        <v>120.70984599156118</v>
      </c>
    </row>
    <row r="825" spans="1:12" x14ac:dyDescent="0.3">
      <c r="A825" s="14" t="s">
        <v>23</v>
      </c>
      <c r="B825" s="15">
        <v>560</v>
      </c>
      <c r="C825" s="15" t="s">
        <v>8</v>
      </c>
      <c r="D825" s="15">
        <v>12.5</v>
      </c>
      <c r="E825" s="22">
        <v>151.38999999999999</v>
      </c>
      <c r="F825" s="15" t="s">
        <v>18</v>
      </c>
      <c r="G825" s="15" t="s">
        <v>15</v>
      </c>
      <c r="H825" s="17">
        <v>46630</v>
      </c>
      <c r="I825" s="15">
        <v>192</v>
      </c>
      <c r="J825" s="18">
        <v>224</v>
      </c>
      <c r="K825" t="str">
        <f t="shared" si="12"/>
        <v>DE560-SDR13,6</v>
      </c>
      <c r="L825">
        <f>VLOOKUP(K825,'[1]Tarif - Evolution Marché'!$F:$K,6,0)</f>
        <v>151.39119831223627</v>
      </c>
    </row>
    <row r="826" spans="1:12" x14ac:dyDescent="0.3">
      <c r="A826" s="8" t="s">
        <v>23</v>
      </c>
      <c r="B826" s="11">
        <v>630</v>
      </c>
      <c r="C826" s="11" t="s">
        <v>8</v>
      </c>
      <c r="D826" s="11">
        <v>12.5</v>
      </c>
      <c r="E826" s="22">
        <v>191.48</v>
      </c>
      <c r="F826" s="11" t="s">
        <v>18</v>
      </c>
      <c r="G826" s="11" t="s">
        <v>15</v>
      </c>
      <c r="H826" s="12">
        <v>46630</v>
      </c>
      <c r="I826" s="11">
        <v>108</v>
      </c>
      <c r="J826" s="13">
        <v>126</v>
      </c>
      <c r="K826" t="str">
        <f t="shared" si="12"/>
        <v>DE630-SDR13,6</v>
      </c>
      <c r="L826">
        <f>VLOOKUP(K826,'[1]Tarif - Evolution Marché'!$F:$K,6,0)</f>
        <v>191.47851265822783</v>
      </c>
    </row>
    <row r="827" spans="1:12" x14ac:dyDescent="0.3">
      <c r="A827" s="14" t="s">
        <v>23</v>
      </c>
      <c r="B827" s="15">
        <v>710</v>
      </c>
      <c r="C827" s="15" t="s">
        <v>8</v>
      </c>
      <c r="D827" s="15">
        <v>12.5</v>
      </c>
      <c r="E827" s="22">
        <v>244.11</v>
      </c>
      <c r="F827" s="15" t="s">
        <v>18</v>
      </c>
      <c r="G827" s="15" t="s">
        <v>15</v>
      </c>
      <c r="H827" s="17">
        <v>46630</v>
      </c>
      <c r="I827" s="15">
        <v>108</v>
      </c>
      <c r="J827" s="18">
        <v>126</v>
      </c>
      <c r="K827" t="str">
        <f t="shared" si="12"/>
        <v>DE710-SDR13,6</v>
      </c>
      <c r="L827">
        <f>VLOOKUP(K827,'[1]Tarif - Evolution Marché'!$F:$K,6,0)</f>
        <v>244.10710970464135</v>
      </c>
    </row>
    <row r="828" spans="1:12" x14ac:dyDescent="0.3">
      <c r="A828" s="8" t="s">
        <v>23</v>
      </c>
      <c r="B828" s="11">
        <v>800</v>
      </c>
      <c r="C828" s="11" t="s">
        <v>8</v>
      </c>
      <c r="D828" s="11">
        <v>12.5</v>
      </c>
      <c r="E828" s="22">
        <v>309.05</v>
      </c>
      <c r="F828" s="11" t="s">
        <v>18</v>
      </c>
      <c r="G828" s="11" t="s">
        <v>15</v>
      </c>
      <c r="H828" s="12">
        <v>46630</v>
      </c>
      <c r="I828" s="11">
        <v>108</v>
      </c>
      <c r="J828" s="13">
        <v>126</v>
      </c>
      <c r="K828" t="str">
        <f t="shared" si="12"/>
        <v>DE800-SDR13,6</v>
      </c>
      <c r="L828">
        <f>VLOOKUP(K828,'[1]Tarif - Evolution Marché'!$F:$K,6,0)</f>
        <v>309.05303797468355</v>
      </c>
    </row>
    <row r="829" spans="1:12" x14ac:dyDescent="0.3">
      <c r="A829" s="14" t="s">
        <v>23</v>
      </c>
      <c r="B829" s="15">
        <v>900</v>
      </c>
      <c r="C829" s="15" t="s">
        <v>8</v>
      </c>
      <c r="D829" s="15">
        <v>12.5</v>
      </c>
      <c r="E829" s="22">
        <v>389.68</v>
      </c>
      <c r="F829" s="15" t="s">
        <v>18</v>
      </c>
      <c r="G829" s="15" t="s">
        <v>15</v>
      </c>
      <c r="H829" s="17">
        <v>46630</v>
      </c>
      <c r="I829" s="15">
        <v>72</v>
      </c>
      <c r="J829" s="18">
        <v>84</v>
      </c>
      <c r="K829" t="str">
        <f t="shared" si="12"/>
        <v>DE900-SDR13,6</v>
      </c>
      <c r="L829">
        <f>VLOOKUP(K829,'[1]Tarif - Evolution Marché'!$F:$K,6,0)</f>
        <v>389.67556962025316</v>
      </c>
    </row>
    <row r="830" spans="1:12" x14ac:dyDescent="0.3">
      <c r="A830" s="8" t="s">
        <v>23</v>
      </c>
      <c r="B830" s="11">
        <v>20</v>
      </c>
      <c r="C830" s="11" t="s">
        <v>9</v>
      </c>
      <c r="D830" s="11">
        <v>16</v>
      </c>
      <c r="E830" s="22">
        <v>0.26</v>
      </c>
      <c r="F830" s="11" t="s">
        <v>18</v>
      </c>
      <c r="G830" s="11" t="s">
        <v>15</v>
      </c>
      <c r="H830" s="12">
        <v>46630</v>
      </c>
      <c r="I830" s="12"/>
      <c r="J830" s="13"/>
      <c r="K830" t="str">
        <f t="shared" si="12"/>
        <v>DE20-SDR11</v>
      </c>
      <c r="L830">
        <f>VLOOKUP(K830,'[1]Tarif - Evolution Marché'!$F:$K,6,0)</f>
        <v>0.26426274261603372</v>
      </c>
    </row>
    <row r="831" spans="1:12" x14ac:dyDescent="0.3">
      <c r="A831" s="14" t="s">
        <v>23</v>
      </c>
      <c r="B831" s="15">
        <v>25</v>
      </c>
      <c r="C831" s="15" t="s">
        <v>9</v>
      </c>
      <c r="D831" s="15">
        <v>16</v>
      </c>
      <c r="E831" s="22">
        <v>0.39</v>
      </c>
      <c r="F831" s="15" t="s">
        <v>18</v>
      </c>
      <c r="G831" s="15" t="s">
        <v>15</v>
      </c>
      <c r="H831" s="17">
        <v>46630</v>
      </c>
      <c r="I831" s="17"/>
      <c r="J831" s="18"/>
      <c r="K831" t="str">
        <f t="shared" si="12"/>
        <v>DE25-SDR11</v>
      </c>
      <c r="L831">
        <f>VLOOKUP(K831,'[1]Tarif - Evolution Marché'!$F:$K,6,0)</f>
        <v>0.38743605485232063</v>
      </c>
    </row>
    <row r="832" spans="1:12" x14ac:dyDescent="0.3">
      <c r="A832" s="8" t="s">
        <v>23</v>
      </c>
      <c r="B832" s="11">
        <v>32</v>
      </c>
      <c r="C832" s="11" t="s">
        <v>9</v>
      </c>
      <c r="D832" s="11">
        <v>16</v>
      </c>
      <c r="E832" s="22">
        <v>0.63</v>
      </c>
      <c r="F832" s="11" t="s">
        <v>18</v>
      </c>
      <c r="G832" s="11" t="s">
        <v>15</v>
      </c>
      <c r="H832" s="12">
        <v>46630</v>
      </c>
      <c r="I832" s="12"/>
      <c r="J832" s="13"/>
      <c r="K832" t="str">
        <f t="shared" si="12"/>
        <v>DE32-SDR11</v>
      </c>
      <c r="L832">
        <f>VLOOKUP(K832,'[1]Tarif - Evolution Marché'!$F:$K,6,0)</f>
        <v>0.63154316455696191</v>
      </c>
    </row>
    <row r="833" spans="1:12" x14ac:dyDescent="0.3">
      <c r="A833" s="14" t="s">
        <v>23</v>
      </c>
      <c r="B833" s="15">
        <v>40</v>
      </c>
      <c r="C833" s="15" t="s">
        <v>9</v>
      </c>
      <c r="D833" s="15">
        <v>16</v>
      </c>
      <c r="E833" s="22">
        <v>0.97</v>
      </c>
      <c r="F833" s="15" t="s">
        <v>18</v>
      </c>
      <c r="G833" s="15" t="s">
        <v>15</v>
      </c>
      <c r="H833" s="17">
        <v>46630</v>
      </c>
      <c r="I833" s="17"/>
      <c r="J833" s="18"/>
      <c r="K833" t="str">
        <f t="shared" si="12"/>
        <v>DE40-SDR11</v>
      </c>
      <c r="L833">
        <f>VLOOKUP(K833,'[1]Tarif - Evolution Marché'!$F:$K,6,0)</f>
        <v>0.97194940928270035</v>
      </c>
    </row>
    <row r="834" spans="1:12" x14ac:dyDescent="0.3">
      <c r="A834" s="8" t="s">
        <v>23</v>
      </c>
      <c r="B834" s="11">
        <v>50</v>
      </c>
      <c r="C834" s="11" t="s">
        <v>9</v>
      </c>
      <c r="D834" s="11">
        <v>16</v>
      </c>
      <c r="E834" s="22">
        <v>1.51</v>
      </c>
      <c r="F834" s="11" t="s">
        <v>18</v>
      </c>
      <c r="G834" s="11" t="s">
        <v>15</v>
      </c>
      <c r="H834" s="12">
        <v>46630</v>
      </c>
      <c r="I834" s="12"/>
      <c r="J834" s="13"/>
      <c r="K834" t="str">
        <f t="shared" si="12"/>
        <v>DE50-SDR11</v>
      </c>
      <c r="L834">
        <f>VLOOKUP(K834,'[1]Tarif - Evolution Marché'!$F:$K,6,0)</f>
        <v>1.5071934388185655</v>
      </c>
    </row>
    <row r="835" spans="1:12" x14ac:dyDescent="0.3">
      <c r="A835" s="14" t="s">
        <v>23</v>
      </c>
      <c r="B835" s="15">
        <v>63</v>
      </c>
      <c r="C835" s="15" t="s">
        <v>9</v>
      </c>
      <c r="D835" s="15">
        <v>16</v>
      </c>
      <c r="E835" s="22">
        <v>2.37</v>
      </c>
      <c r="F835" s="15" t="s">
        <v>18</v>
      </c>
      <c r="G835" s="15" t="s">
        <v>15</v>
      </c>
      <c r="H835" s="17">
        <v>46630</v>
      </c>
      <c r="I835" s="17"/>
      <c r="J835" s="18"/>
      <c r="K835" t="str">
        <f t="shared" ref="K835:K898" si="13">CONCATENATE("DE",B835,"-",C835)</f>
        <v>DE63-SDR11</v>
      </c>
      <c r="L835">
        <f>VLOOKUP(K835,'[1]Tarif - Evolution Marché'!$F:$K,6,0)</f>
        <v>2.373885654008439</v>
      </c>
    </row>
    <row r="836" spans="1:12" x14ac:dyDescent="0.3">
      <c r="A836" s="8" t="s">
        <v>23</v>
      </c>
      <c r="B836" s="11">
        <v>75</v>
      </c>
      <c r="C836" s="11" t="s">
        <v>9</v>
      </c>
      <c r="D836" s="11">
        <v>16</v>
      </c>
      <c r="E836" s="22">
        <v>3.31</v>
      </c>
      <c r="F836" s="11" t="s">
        <v>18</v>
      </c>
      <c r="G836" s="11" t="s">
        <v>15</v>
      </c>
      <c r="H836" s="12">
        <v>46630</v>
      </c>
      <c r="I836" s="12"/>
      <c r="J836" s="13"/>
      <c r="K836" t="str">
        <f t="shared" si="13"/>
        <v>DE75-SDR11</v>
      </c>
      <c r="L836">
        <f>VLOOKUP(K836,'[1]Tarif - Evolution Marché'!$F:$K,6,0)</f>
        <v>3.3144818565400844</v>
      </c>
    </row>
    <row r="837" spans="1:12" x14ac:dyDescent="0.3">
      <c r="A837" s="14" t="s">
        <v>23</v>
      </c>
      <c r="B837" s="15">
        <v>90</v>
      </c>
      <c r="C837" s="15" t="s">
        <v>9</v>
      </c>
      <c r="D837" s="15">
        <v>16</v>
      </c>
      <c r="E837" s="22">
        <v>4.79</v>
      </c>
      <c r="F837" s="15" t="s">
        <v>18</v>
      </c>
      <c r="G837" s="15" t="s">
        <v>15</v>
      </c>
      <c r="H837" s="17">
        <v>46630</v>
      </c>
      <c r="I837" s="17"/>
      <c r="J837" s="18"/>
      <c r="K837" t="str">
        <f t="shared" si="13"/>
        <v>DE90-SDR11</v>
      </c>
      <c r="L837">
        <f>VLOOKUP(K837,'[1]Tarif - Evolution Marché'!$F:$K,6,0)</f>
        <v>4.7925616033755274</v>
      </c>
    </row>
    <row r="838" spans="1:12" x14ac:dyDescent="0.3">
      <c r="A838" s="8" t="s">
        <v>23</v>
      </c>
      <c r="B838" s="11">
        <v>110</v>
      </c>
      <c r="C838" s="11" t="s">
        <v>9</v>
      </c>
      <c r="D838" s="11">
        <v>16</v>
      </c>
      <c r="E838" s="22">
        <v>7.12</v>
      </c>
      <c r="F838" s="11" t="s">
        <v>18</v>
      </c>
      <c r="G838" s="11" t="s">
        <v>15</v>
      </c>
      <c r="H838" s="12">
        <v>46630</v>
      </c>
      <c r="I838" s="12"/>
      <c r="J838" s="13"/>
      <c r="K838" t="str">
        <f t="shared" si="13"/>
        <v>DE110-SDR11</v>
      </c>
      <c r="L838">
        <f>VLOOKUP(K838,'[1]Tarif - Evolution Marché'!$F:$K,6,0)</f>
        <v>7.121656962025317</v>
      </c>
    </row>
    <row r="839" spans="1:12" x14ac:dyDescent="0.3">
      <c r="A839" s="14" t="s">
        <v>23</v>
      </c>
      <c r="B839" s="15">
        <v>125</v>
      </c>
      <c r="C839" s="15" t="s">
        <v>9</v>
      </c>
      <c r="D839" s="15">
        <v>16</v>
      </c>
      <c r="E839" s="22">
        <v>9.23</v>
      </c>
      <c r="F839" s="15" t="s">
        <v>18</v>
      </c>
      <c r="G839" s="15" t="s">
        <v>15</v>
      </c>
      <c r="H839" s="17">
        <v>46630</v>
      </c>
      <c r="I839" s="15">
        <v>2400</v>
      </c>
      <c r="J839" s="18">
        <v>2800</v>
      </c>
      <c r="K839" t="str">
        <f t="shared" si="13"/>
        <v>DE125-SDR11</v>
      </c>
      <c r="L839">
        <f>VLOOKUP(K839,'[1]Tarif - Evolution Marché'!$F:$K,6,0)</f>
        <v>9.2268008438818558</v>
      </c>
    </row>
    <row r="840" spans="1:12" x14ac:dyDescent="0.3">
      <c r="A840" s="8" t="s">
        <v>23</v>
      </c>
      <c r="B840" s="11">
        <v>140</v>
      </c>
      <c r="C840" s="11" t="s">
        <v>9</v>
      </c>
      <c r="D840" s="11">
        <v>16</v>
      </c>
      <c r="E840" s="22">
        <v>11.49</v>
      </c>
      <c r="F840" s="11" t="s">
        <v>18</v>
      </c>
      <c r="G840" s="11" t="s">
        <v>15</v>
      </c>
      <c r="H840" s="12">
        <v>46630</v>
      </c>
      <c r="I840" s="11">
        <v>1920</v>
      </c>
      <c r="J840" s="13">
        <v>2240</v>
      </c>
      <c r="K840" t="str">
        <f t="shared" si="13"/>
        <v>DE140-SDR11</v>
      </c>
      <c r="L840">
        <f>VLOOKUP(K840,'[1]Tarif - Evolution Marché'!$F:$K,6,0)</f>
        <v>11.488710759493671</v>
      </c>
    </row>
    <row r="841" spans="1:12" x14ac:dyDescent="0.3">
      <c r="A841" s="14" t="s">
        <v>23</v>
      </c>
      <c r="B841" s="15">
        <v>160</v>
      </c>
      <c r="C841" s="15" t="s">
        <v>9</v>
      </c>
      <c r="D841" s="15">
        <v>16</v>
      </c>
      <c r="E841" s="22">
        <v>15.09</v>
      </c>
      <c r="F841" s="15" t="s">
        <v>18</v>
      </c>
      <c r="G841" s="15" t="s">
        <v>15</v>
      </c>
      <c r="H841" s="17">
        <v>46630</v>
      </c>
      <c r="I841" s="15">
        <v>1920</v>
      </c>
      <c r="J841" s="18">
        <v>2240</v>
      </c>
      <c r="K841" t="str">
        <f t="shared" si="13"/>
        <v>DE160-SDR11</v>
      </c>
      <c r="L841">
        <f>VLOOKUP(K841,'[1]Tarif - Evolution Marché'!$F:$K,6,0)</f>
        <v>15.094329535864979</v>
      </c>
    </row>
    <row r="842" spans="1:12" x14ac:dyDescent="0.3">
      <c r="A842" s="8" t="s">
        <v>23</v>
      </c>
      <c r="B842" s="11">
        <v>180</v>
      </c>
      <c r="C842" s="11" t="s">
        <v>9</v>
      </c>
      <c r="D842" s="11">
        <v>16</v>
      </c>
      <c r="E842" s="22">
        <v>19.059999999999999</v>
      </c>
      <c r="F842" s="11" t="s">
        <v>18</v>
      </c>
      <c r="G842" s="11" t="s">
        <v>15</v>
      </c>
      <c r="H842" s="12">
        <v>46630</v>
      </c>
      <c r="I842" s="11">
        <v>1200</v>
      </c>
      <c r="J842" s="13">
        <v>1400</v>
      </c>
      <c r="K842" t="str">
        <f t="shared" si="13"/>
        <v>DE180-SDR11</v>
      </c>
      <c r="L842">
        <f>VLOOKUP(K842,'[1]Tarif - Evolution Marché'!$F:$K,6,0)</f>
        <v>19.058270675105483</v>
      </c>
    </row>
    <row r="843" spans="1:12" x14ac:dyDescent="0.3">
      <c r="A843" s="14" t="s">
        <v>23</v>
      </c>
      <c r="B843" s="15">
        <v>200</v>
      </c>
      <c r="C843" s="15" t="s">
        <v>9</v>
      </c>
      <c r="D843" s="15">
        <v>16</v>
      </c>
      <c r="E843" s="22">
        <v>23.51</v>
      </c>
      <c r="F843" s="15" t="s">
        <v>18</v>
      </c>
      <c r="G843" s="15" t="s">
        <v>15</v>
      </c>
      <c r="H843" s="17">
        <v>46630</v>
      </c>
      <c r="I843" s="15">
        <v>960</v>
      </c>
      <c r="J843" s="18">
        <v>1120</v>
      </c>
      <c r="K843" t="str">
        <f t="shared" si="13"/>
        <v>DE200-SDR11</v>
      </c>
      <c r="L843">
        <f>VLOOKUP(K843,'[1]Tarif - Evolution Marché'!$F:$K,6,0)</f>
        <v>23.514905063291138</v>
      </c>
    </row>
    <row r="844" spans="1:12" x14ac:dyDescent="0.3">
      <c r="A844" s="8" t="s">
        <v>23</v>
      </c>
      <c r="B844" s="11">
        <v>225</v>
      </c>
      <c r="C844" s="11" t="s">
        <v>9</v>
      </c>
      <c r="D844" s="11">
        <v>16</v>
      </c>
      <c r="E844" s="22">
        <v>29.79</v>
      </c>
      <c r="F844" s="11" t="s">
        <v>18</v>
      </c>
      <c r="G844" s="11" t="s">
        <v>15</v>
      </c>
      <c r="H844" s="12">
        <v>46630</v>
      </c>
      <c r="I844" s="11">
        <v>960</v>
      </c>
      <c r="J844" s="13">
        <v>1120</v>
      </c>
      <c r="K844" t="str">
        <f t="shared" si="13"/>
        <v>DE225-SDR11</v>
      </c>
      <c r="L844">
        <f>VLOOKUP(K844,'[1]Tarif - Evolution Marché'!$F:$K,6,0)</f>
        <v>29.785546413502111</v>
      </c>
    </row>
    <row r="845" spans="1:12" x14ac:dyDescent="0.3">
      <c r="A845" s="14" t="s">
        <v>23</v>
      </c>
      <c r="B845" s="15">
        <v>250</v>
      </c>
      <c r="C845" s="15" t="s">
        <v>9</v>
      </c>
      <c r="D845" s="15">
        <v>16</v>
      </c>
      <c r="E845" s="22">
        <v>36.5</v>
      </c>
      <c r="F845" s="15" t="s">
        <v>18</v>
      </c>
      <c r="G845" s="15" t="s">
        <v>15</v>
      </c>
      <c r="H845" s="17">
        <v>46630</v>
      </c>
      <c r="I845" s="15">
        <v>672</v>
      </c>
      <c r="J845" s="18">
        <v>784</v>
      </c>
      <c r="K845" t="str">
        <f t="shared" si="13"/>
        <v>DE250-SDR11</v>
      </c>
      <c r="L845">
        <f>VLOOKUP(K845,'[1]Tarif - Evolution Marché'!$F:$K,6,0)</f>
        <v>36.504090717299576</v>
      </c>
    </row>
    <row r="846" spans="1:12" x14ac:dyDescent="0.3">
      <c r="A846" s="8" t="s">
        <v>23</v>
      </c>
      <c r="B846" s="11">
        <v>280</v>
      </c>
      <c r="C846" s="11" t="s">
        <v>9</v>
      </c>
      <c r="D846" s="11">
        <v>16</v>
      </c>
      <c r="E846" s="22">
        <v>45.91</v>
      </c>
      <c r="F846" s="11" t="s">
        <v>18</v>
      </c>
      <c r="G846" s="11" t="s">
        <v>15</v>
      </c>
      <c r="H846" s="12">
        <v>46630</v>
      </c>
      <c r="I846" s="11">
        <v>672</v>
      </c>
      <c r="J846" s="13">
        <v>784</v>
      </c>
      <c r="K846" t="str">
        <f t="shared" si="13"/>
        <v>DE280-SDR11</v>
      </c>
      <c r="L846">
        <f>VLOOKUP(K846,'[1]Tarif - Evolution Marché'!$F:$K,6,0)</f>
        <v>45.910052742616031</v>
      </c>
    </row>
    <row r="847" spans="1:12" x14ac:dyDescent="0.3">
      <c r="A847" s="14" t="s">
        <v>23</v>
      </c>
      <c r="B847" s="15">
        <v>315</v>
      </c>
      <c r="C847" s="15" t="s">
        <v>9</v>
      </c>
      <c r="D847" s="15">
        <v>16</v>
      </c>
      <c r="E847" s="22">
        <v>58</v>
      </c>
      <c r="F847" s="15" t="s">
        <v>18</v>
      </c>
      <c r="G847" s="15" t="s">
        <v>15</v>
      </c>
      <c r="H847" s="17">
        <v>46630</v>
      </c>
      <c r="I847" s="15">
        <v>432</v>
      </c>
      <c r="J847" s="18">
        <v>504</v>
      </c>
      <c r="K847" t="str">
        <f t="shared" si="13"/>
        <v>DE315-SDR11</v>
      </c>
      <c r="L847">
        <f>VLOOKUP(K847,'[1]Tarif - Evolution Marché'!$F:$K,6,0)</f>
        <v>58.00343248945147</v>
      </c>
    </row>
    <row r="848" spans="1:12" x14ac:dyDescent="0.3">
      <c r="A848" s="8" t="s">
        <v>23</v>
      </c>
      <c r="B848" s="11">
        <v>355</v>
      </c>
      <c r="C848" s="11" t="s">
        <v>9</v>
      </c>
      <c r="D848" s="11">
        <v>16</v>
      </c>
      <c r="E848" s="22">
        <v>73.680000000000007</v>
      </c>
      <c r="F848" s="11" t="s">
        <v>18</v>
      </c>
      <c r="G848" s="11" t="s">
        <v>15</v>
      </c>
      <c r="H848" s="12">
        <v>46630</v>
      </c>
      <c r="I848" s="11">
        <v>360</v>
      </c>
      <c r="J848" s="13">
        <v>420</v>
      </c>
      <c r="K848" t="str">
        <f t="shared" si="13"/>
        <v>DE355-SDR11</v>
      </c>
      <c r="L848">
        <f>VLOOKUP(K848,'[1]Tarif - Evolution Marché'!$F:$K,6,0)</f>
        <v>73.68003586497889</v>
      </c>
    </row>
    <row r="849" spans="1:12" x14ac:dyDescent="0.3">
      <c r="A849" s="14" t="s">
        <v>23</v>
      </c>
      <c r="B849" s="15">
        <v>400</v>
      </c>
      <c r="C849" s="15" t="s">
        <v>9</v>
      </c>
      <c r="D849" s="15">
        <v>16</v>
      </c>
      <c r="E849" s="22">
        <v>93.39</v>
      </c>
      <c r="F849" s="15" t="s">
        <v>18</v>
      </c>
      <c r="G849" s="15" t="s">
        <v>15</v>
      </c>
      <c r="H849" s="17">
        <v>46630</v>
      </c>
      <c r="I849" s="15">
        <v>360</v>
      </c>
      <c r="J849" s="18">
        <v>420</v>
      </c>
      <c r="K849" t="str">
        <f t="shared" si="13"/>
        <v>DE400-SDR11</v>
      </c>
      <c r="L849">
        <f>VLOOKUP(K849,'[1]Tarif - Evolution Marché'!$F:$K,6,0)</f>
        <v>93.387765822784814</v>
      </c>
    </row>
    <row r="850" spans="1:12" x14ac:dyDescent="0.3">
      <c r="A850" s="8" t="s">
        <v>23</v>
      </c>
      <c r="B850" s="11">
        <v>450</v>
      </c>
      <c r="C850" s="11" t="s">
        <v>9</v>
      </c>
      <c r="D850" s="11">
        <v>16</v>
      </c>
      <c r="E850" s="22">
        <v>118.25</v>
      </c>
      <c r="F850" s="11" t="s">
        <v>18</v>
      </c>
      <c r="G850" s="11" t="s">
        <v>15</v>
      </c>
      <c r="H850" s="12">
        <v>46630</v>
      </c>
      <c r="I850" s="11">
        <v>192</v>
      </c>
      <c r="J850" s="13">
        <v>224</v>
      </c>
      <c r="K850" t="str">
        <f t="shared" si="13"/>
        <v>DE450-SDR11</v>
      </c>
      <c r="L850">
        <f>VLOOKUP(K850,'[1]Tarif - Evolution Marché'!$F:$K,6,0)</f>
        <v>118.24637974683543</v>
      </c>
    </row>
    <row r="851" spans="1:12" x14ac:dyDescent="0.3">
      <c r="A851" s="14" t="s">
        <v>23</v>
      </c>
      <c r="B851" s="15">
        <v>500</v>
      </c>
      <c r="C851" s="15" t="s">
        <v>9</v>
      </c>
      <c r="D851" s="15">
        <v>16</v>
      </c>
      <c r="E851" s="22">
        <v>146.02000000000001</v>
      </c>
      <c r="F851" s="15" t="s">
        <v>18</v>
      </c>
      <c r="G851" s="15" t="s">
        <v>15</v>
      </c>
      <c r="H851" s="17">
        <v>46630</v>
      </c>
      <c r="I851" s="15">
        <v>192</v>
      </c>
      <c r="J851" s="18">
        <v>224</v>
      </c>
      <c r="K851" t="str">
        <f t="shared" si="13"/>
        <v>DE500-SDR11</v>
      </c>
      <c r="L851">
        <f>VLOOKUP(K851,'[1]Tarif - Evolution Marché'!$F:$K,6,0)</f>
        <v>146.0163628691983</v>
      </c>
    </row>
    <row r="852" spans="1:12" x14ac:dyDescent="0.3">
      <c r="A852" s="8" t="s">
        <v>23</v>
      </c>
      <c r="B852" s="11">
        <v>560</v>
      </c>
      <c r="C852" s="11" t="s">
        <v>9</v>
      </c>
      <c r="D852" s="11">
        <v>16</v>
      </c>
      <c r="E852" s="22">
        <v>182.97</v>
      </c>
      <c r="F852" s="11" t="s">
        <v>18</v>
      </c>
      <c r="G852" s="11" t="s">
        <v>15</v>
      </c>
      <c r="H852" s="12">
        <v>46630</v>
      </c>
      <c r="I852" s="11">
        <v>192</v>
      </c>
      <c r="J852" s="13">
        <v>224</v>
      </c>
      <c r="K852" t="str">
        <f t="shared" si="13"/>
        <v>DE560-SDR11</v>
      </c>
      <c r="L852">
        <f>VLOOKUP(K852,'[1]Tarif - Evolution Marché'!$F:$K,6,0)</f>
        <v>182.96835654008439</v>
      </c>
    </row>
    <row r="853" spans="1:12" x14ac:dyDescent="0.3">
      <c r="A853" s="14" t="s">
        <v>23</v>
      </c>
      <c r="B853" s="15">
        <v>630</v>
      </c>
      <c r="C853" s="15" t="s">
        <v>9</v>
      </c>
      <c r="D853" s="15">
        <v>16</v>
      </c>
      <c r="E853" s="22">
        <v>230.67</v>
      </c>
      <c r="F853" s="15" t="s">
        <v>18</v>
      </c>
      <c r="G853" s="15" t="s">
        <v>15</v>
      </c>
      <c r="H853" s="17">
        <v>46630</v>
      </c>
      <c r="I853" s="15">
        <v>108</v>
      </c>
      <c r="J853" s="18">
        <v>126</v>
      </c>
      <c r="K853" t="str">
        <f t="shared" si="13"/>
        <v>DE630-SDR11</v>
      </c>
      <c r="L853">
        <f>VLOOKUP(K853,'[1]Tarif - Evolution Marché'!$F:$K,6,0)</f>
        <v>230.6700210970464</v>
      </c>
    </row>
    <row r="854" spans="1:12" x14ac:dyDescent="0.3">
      <c r="A854" s="8" t="s">
        <v>23</v>
      </c>
      <c r="B854" s="11">
        <v>710</v>
      </c>
      <c r="C854" s="11" t="s">
        <v>9</v>
      </c>
      <c r="D854" s="11">
        <v>16</v>
      </c>
      <c r="E854" s="22">
        <v>293.38</v>
      </c>
      <c r="F854" s="11" t="s">
        <v>18</v>
      </c>
      <c r="G854" s="11" t="s">
        <v>15</v>
      </c>
      <c r="H854" s="12">
        <v>46630</v>
      </c>
      <c r="I854" s="11">
        <v>108</v>
      </c>
      <c r="J854" s="13">
        <v>126</v>
      </c>
      <c r="K854" t="str">
        <f t="shared" si="13"/>
        <v>DE710-SDR11</v>
      </c>
      <c r="L854">
        <f>VLOOKUP(K854,'[1]Tarif - Evolution Marché'!$F:$K,6,0)</f>
        <v>293.37643459915608</v>
      </c>
    </row>
    <row r="855" spans="1:12" x14ac:dyDescent="0.3">
      <c r="A855" s="14" t="s">
        <v>23</v>
      </c>
      <c r="B855" s="15">
        <v>16</v>
      </c>
      <c r="C855" s="15" t="s">
        <v>10</v>
      </c>
      <c r="D855" s="15">
        <v>20</v>
      </c>
      <c r="E855" s="22">
        <v>0.21</v>
      </c>
      <c r="F855" s="15" t="s">
        <v>18</v>
      </c>
      <c r="G855" s="15" t="s">
        <v>15</v>
      </c>
      <c r="H855" s="17">
        <v>46630</v>
      </c>
      <c r="I855" s="17"/>
      <c r="J855" s="18"/>
      <c r="K855" t="str">
        <f t="shared" si="13"/>
        <v>DE16-SDR9</v>
      </c>
      <c r="L855">
        <f>VLOOKUP(K855,'[1]Tarif - Evolution Marché'!$F:$K,6,0)</f>
        <v>0.20603535864978903</v>
      </c>
    </row>
    <row r="856" spans="1:12" x14ac:dyDescent="0.3">
      <c r="A856" s="8" t="s">
        <v>23</v>
      </c>
      <c r="B856" s="11">
        <v>20</v>
      </c>
      <c r="C856" s="11" t="s">
        <v>10</v>
      </c>
      <c r="D856" s="11">
        <v>20</v>
      </c>
      <c r="E856" s="22">
        <v>0.3</v>
      </c>
      <c r="F856" s="11" t="s">
        <v>18</v>
      </c>
      <c r="G856" s="11" t="s">
        <v>15</v>
      </c>
      <c r="H856" s="12">
        <v>46630</v>
      </c>
      <c r="I856" s="12"/>
      <c r="J856" s="13"/>
      <c r="K856" t="str">
        <f t="shared" si="13"/>
        <v>DE20-SDR9</v>
      </c>
      <c r="L856">
        <f>VLOOKUP(K856,'[1]Tarif - Evolution Marché'!$F:$K,6,0)</f>
        <v>0.30009497890295361</v>
      </c>
    </row>
    <row r="857" spans="1:12" x14ac:dyDescent="0.3">
      <c r="A857" s="14" t="s">
        <v>23</v>
      </c>
      <c r="B857" s="15">
        <v>25</v>
      </c>
      <c r="C857" s="15" t="s">
        <v>10</v>
      </c>
      <c r="D857" s="15">
        <v>20</v>
      </c>
      <c r="E857" s="22">
        <v>0.45</v>
      </c>
      <c r="F857" s="15" t="s">
        <v>18</v>
      </c>
      <c r="G857" s="15" t="s">
        <v>15</v>
      </c>
      <c r="H857" s="17">
        <v>46630</v>
      </c>
      <c r="I857" s="17"/>
      <c r="J857" s="18"/>
      <c r="K857" t="str">
        <f t="shared" si="13"/>
        <v>DE25-SDR9</v>
      </c>
      <c r="L857">
        <f>VLOOKUP(K857,'[1]Tarif - Evolution Marché'!$F:$K,6,0)</f>
        <v>0.45238198312236289</v>
      </c>
    </row>
    <row r="858" spans="1:12" x14ac:dyDescent="0.3">
      <c r="A858" s="8" t="s">
        <v>23</v>
      </c>
      <c r="B858" s="11">
        <v>32</v>
      </c>
      <c r="C858" s="11" t="s">
        <v>10</v>
      </c>
      <c r="D858" s="11">
        <v>20</v>
      </c>
      <c r="E858" s="22">
        <v>0.74</v>
      </c>
      <c r="F858" s="11" t="s">
        <v>18</v>
      </c>
      <c r="G858" s="11" t="s">
        <v>15</v>
      </c>
      <c r="H858" s="12">
        <v>46630</v>
      </c>
      <c r="I858" s="12"/>
      <c r="J858" s="13"/>
      <c r="K858" t="str">
        <f t="shared" si="13"/>
        <v>DE32-SDR9</v>
      </c>
      <c r="L858">
        <f>VLOOKUP(K858,'[1]Tarif - Evolution Marché'!$F:$K,6,0)</f>
        <v>0.74127938818565398</v>
      </c>
    </row>
    <row r="859" spans="1:12" x14ac:dyDescent="0.3">
      <c r="A859" s="14" t="s">
        <v>23</v>
      </c>
      <c r="B859" s="15">
        <v>40</v>
      </c>
      <c r="C859" s="15" t="s">
        <v>10</v>
      </c>
      <c r="D859" s="15">
        <v>20</v>
      </c>
      <c r="E859" s="22">
        <v>1.1499999999999999</v>
      </c>
      <c r="F859" s="15" t="s">
        <v>18</v>
      </c>
      <c r="G859" s="15" t="s">
        <v>15</v>
      </c>
      <c r="H859" s="17">
        <v>46630</v>
      </c>
      <c r="I859" s="17"/>
      <c r="J859" s="18"/>
      <c r="K859" t="str">
        <f t="shared" si="13"/>
        <v>DE40-SDR9</v>
      </c>
      <c r="L859">
        <f>VLOOKUP(K859,'[1]Tarif - Evolution Marché'!$F:$K,6,0)</f>
        <v>1.1511105907172996</v>
      </c>
    </row>
    <row r="860" spans="1:12" x14ac:dyDescent="0.3">
      <c r="A860" s="8" t="s">
        <v>23</v>
      </c>
      <c r="B860" s="11">
        <v>50</v>
      </c>
      <c r="C860" s="11" t="s">
        <v>10</v>
      </c>
      <c r="D860" s="11">
        <v>20</v>
      </c>
      <c r="E860" s="22">
        <v>1.78</v>
      </c>
      <c r="F860" s="11" t="s">
        <v>18</v>
      </c>
      <c r="G860" s="11" t="s">
        <v>15</v>
      </c>
      <c r="H860" s="12">
        <v>46630</v>
      </c>
      <c r="I860" s="12"/>
      <c r="J860" s="13"/>
      <c r="K860" t="str">
        <f t="shared" si="13"/>
        <v>DE50-SDR9</v>
      </c>
      <c r="L860">
        <f>VLOOKUP(K860,'[1]Tarif - Evolution Marché'!$F:$K,6,0)</f>
        <v>1.7826537552742616</v>
      </c>
    </row>
    <row r="861" spans="1:12" x14ac:dyDescent="0.3">
      <c r="A861" s="14" t="s">
        <v>23</v>
      </c>
      <c r="B861" s="15">
        <v>63</v>
      </c>
      <c r="C861" s="15" t="s">
        <v>10</v>
      </c>
      <c r="D861" s="15">
        <v>20</v>
      </c>
      <c r="E861" s="22">
        <v>2.84</v>
      </c>
      <c r="F861" s="15" t="s">
        <v>18</v>
      </c>
      <c r="G861" s="15" t="s">
        <v>15</v>
      </c>
      <c r="H861" s="17">
        <v>46630</v>
      </c>
      <c r="I861" s="17"/>
      <c r="J861" s="18"/>
      <c r="K861" t="str">
        <f t="shared" si="13"/>
        <v>DE63-SDR9</v>
      </c>
      <c r="L861">
        <f>VLOOKUP(K861,'[1]Tarif - Evolution Marché'!$F:$K,6,0)</f>
        <v>2.8441837552742615</v>
      </c>
    </row>
    <row r="862" spans="1:12" x14ac:dyDescent="0.3">
      <c r="A862" s="8" t="s">
        <v>23</v>
      </c>
      <c r="B862" s="11">
        <v>75</v>
      </c>
      <c r="C862" s="11" t="s">
        <v>10</v>
      </c>
      <c r="D862" s="11">
        <v>20</v>
      </c>
      <c r="E862" s="22">
        <v>3.99</v>
      </c>
      <c r="F862" s="11" t="s">
        <v>18</v>
      </c>
      <c r="G862" s="11" t="s">
        <v>15</v>
      </c>
      <c r="H862" s="12">
        <v>46630</v>
      </c>
      <c r="I862" s="12"/>
      <c r="J862" s="13"/>
      <c r="K862" t="str">
        <f t="shared" si="13"/>
        <v>DE75-SDR9</v>
      </c>
      <c r="L862">
        <f>VLOOKUP(K862,'[1]Tarif - Evolution Marché'!$F:$K,6,0)</f>
        <v>3.9863362869198311</v>
      </c>
    </row>
    <row r="863" spans="1:12" x14ac:dyDescent="0.3">
      <c r="A863" s="14" t="s">
        <v>23</v>
      </c>
      <c r="B863" s="15">
        <v>90</v>
      </c>
      <c r="C863" s="15" t="s">
        <v>10</v>
      </c>
      <c r="D863" s="15">
        <v>20</v>
      </c>
      <c r="E863" s="22">
        <v>5.76</v>
      </c>
      <c r="F863" s="15" t="s">
        <v>18</v>
      </c>
      <c r="G863" s="15" t="s">
        <v>15</v>
      </c>
      <c r="H863" s="17">
        <v>46630</v>
      </c>
      <c r="I863" s="17"/>
      <c r="J863" s="18"/>
      <c r="K863" t="str">
        <f t="shared" si="13"/>
        <v>DE90-SDR9</v>
      </c>
      <c r="L863">
        <f>VLOOKUP(K863,'[1]Tarif - Evolution Marché'!$F:$K,6,0)</f>
        <v>5.7555529535864975</v>
      </c>
    </row>
    <row r="864" spans="1:12" x14ac:dyDescent="0.3">
      <c r="A864" s="8" t="s">
        <v>23</v>
      </c>
      <c r="B864" s="11">
        <v>110</v>
      </c>
      <c r="C864" s="11" t="s">
        <v>10</v>
      </c>
      <c r="D864" s="11">
        <v>20</v>
      </c>
      <c r="E864" s="22">
        <v>8.5500000000000007</v>
      </c>
      <c r="F864" s="11" t="s">
        <v>18</v>
      </c>
      <c r="G864" s="11" t="s">
        <v>15</v>
      </c>
      <c r="H864" s="12">
        <v>46630</v>
      </c>
      <c r="I864" s="12"/>
      <c r="J864" s="13"/>
      <c r="K864" t="str">
        <f t="shared" si="13"/>
        <v>DE110-SDR9</v>
      </c>
      <c r="L864">
        <f>VLOOKUP(K864,'[1]Tarif - Evolution Marché'!$F:$K,6,0)</f>
        <v>8.5549464135021083</v>
      </c>
    </row>
    <row r="865" spans="1:12" x14ac:dyDescent="0.3">
      <c r="A865" s="14" t="s">
        <v>23</v>
      </c>
      <c r="B865" s="15">
        <v>125</v>
      </c>
      <c r="C865" s="15" t="s">
        <v>10</v>
      </c>
      <c r="D865" s="15">
        <v>20</v>
      </c>
      <c r="E865" s="22">
        <v>11.02</v>
      </c>
      <c r="F865" s="15" t="s">
        <v>18</v>
      </c>
      <c r="G865" s="15" t="s">
        <v>15</v>
      </c>
      <c r="H865" s="17">
        <v>46630</v>
      </c>
      <c r="I865" s="15">
        <v>2400</v>
      </c>
      <c r="J865" s="18">
        <v>2800</v>
      </c>
      <c r="K865" t="str">
        <f t="shared" si="13"/>
        <v>DE125-SDR9</v>
      </c>
      <c r="L865">
        <f>VLOOKUP(K865,'[1]Tarif - Evolution Marché'!$F:$K,6,0)</f>
        <v>11.018412658227847</v>
      </c>
    </row>
    <row r="866" spans="1:12" x14ac:dyDescent="0.3">
      <c r="A866" s="8" t="s">
        <v>23</v>
      </c>
      <c r="B866" s="11">
        <v>140</v>
      </c>
      <c r="C866" s="11" t="s">
        <v>10</v>
      </c>
      <c r="D866" s="11">
        <v>20</v>
      </c>
      <c r="E866" s="22">
        <v>13.84</v>
      </c>
      <c r="F866" s="11" t="s">
        <v>18</v>
      </c>
      <c r="G866" s="11" t="s">
        <v>15</v>
      </c>
      <c r="H866" s="12">
        <v>46630</v>
      </c>
      <c r="I866" s="11">
        <v>1920</v>
      </c>
      <c r="J866" s="13">
        <v>2240</v>
      </c>
      <c r="K866" t="str">
        <f t="shared" si="13"/>
        <v>DE140-SDR9</v>
      </c>
      <c r="L866">
        <f>VLOOKUP(K866,'[1]Tarif - Evolution Marché'!$F:$K,6,0)</f>
        <v>13.840201265822783</v>
      </c>
    </row>
    <row r="867" spans="1:12" x14ac:dyDescent="0.3">
      <c r="A867" s="14" t="s">
        <v>23</v>
      </c>
      <c r="B867" s="15">
        <v>160</v>
      </c>
      <c r="C867" s="15" t="s">
        <v>10</v>
      </c>
      <c r="D867" s="15">
        <v>20</v>
      </c>
      <c r="E867" s="22">
        <v>18.010000000000002</v>
      </c>
      <c r="F867" s="15" t="s">
        <v>18</v>
      </c>
      <c r="G867" s="15" t="s">
        <v>15</v>
      </c>
      <c r="H867" s="17">
        <v>46630</v>
      </c>
      <c r="I867" s="15">
        <v>1920</v>
      </c>
      <c r="J867" s="18">
        <v>2240</v>
      </c>
      <c r="K867" t="str">
        <f t="shared" si="13"/>
        <v>DE160-SDR9</v>
      </c>
      <c r="L867">
        <f>VLOOKUP(K867,'[1]Tarif - Evolution Marché'!$F:$K,6,0)</f>
        <v>18.005698734177212</v>
      </c>
    </row>
    <row r="868" spans="1:12" x14ac:dyDescent="0.3">
      <c r="A868" s="8" t="s">
        <v>23</v>
      </c>
      <c r="B868" s="11">
        <v>180</v>
      </c>
      <c r="C868" s="11" t="s">
        <v>10</v>
      </c>
      <c r="D868" s="11">
        <v>20</v>
      </c>
      <c r="E868" s="22">
        <v>22.84</v>
      </c>
      <c r="F868" s="11" t="s">
        <v>18</v>
      </c>
      <c r="G868" s="11" t="s">
        <v>15</v>
      </c>
      <c r="H868" s="12">
        <v>46630</v>
      </c>
      <c r="I868" s="11">
        <v>1200</v>
      </c>
      <c r="J868" s="13">
        <v>1400</v>
      </c>
      <c r="K868" t="str">
        <f t="shared" si="13"/>
        <v>DE180-SDR9</v>
      </c>
      <c r="L868">
        <f>VLOOKUP(K868,'[1]Tarif - Evolution Marché'!$F:$K,6,0)</f>
        <v>22.843050632911389</v>
      </c>
    </row>
    <row r="869" spans="1:12" x14ac:dyDescent="0.3">
      <c r="A869" s="14" t="s">
        <v>23</v>
      </c>
      <c r="B869" s="15">
        <v>200</v>
      </c>
      <c r="C869" s="15" t="s">
        <v>10</v>
      </c>
      <c r="D869" s="15">
        <v>20</v>
      </c>
      <c r="E869" s="22">
        <v>28.22</v>
      </c>
      <c r="F869" s="15" t="s">
        <v>18</v>
      </c>
      <c r="G869" s="15" t="s">
        <v>15</v>
      </c>
      <c r="H869" s="17">
        <v>46630</v>
      </c>
      <c r="I869" s="15">
        <v>960</v>
      </c>
      <c r="J869" s="18">
        <v>1120</v>
      </c>
      <c r="K869" t="str">
        <f t="shared" si="13"/>
        <v>DE200-SDR9</v>
      </c>
      <c r="L869">
        <f>VLOOKUP(K869,'[1]Tarif - Evolution Marché'!$F:$K,6,0)</f>
        <v>28.217886075949366</v>
      </c>
    </row>
    <row r="870" spans="1:12" x14ac:dyDescent="0.3">
      <c r="A870" s="8" t="s">
        <v>23</v>
      </c>
      <c r="B870" s="11">
        <v>225</v>
      </c>
      <c r="C870" s="11" t="s">
        <v>10</v>
      </c>
      <c r="D870" s="11">
        <v>20</v>
      </c>
      <c r="E870" s="22">
        <v>35.61</v>
      </c>
      <c r="F870" s="11" t="s">
        <v>18</v>
      </c>
      <c r="G870" s="11" t="s">
        <v>15</v>
      </c>
      <c r="H870" s="12">
        <v>46630</v>
      </c>
      <c r="I870" s="11">
        <v>960</v>
      </c>
      <c r="J870" s="13">
        <v>1120</v>
      </c>
      <c r="K870" t="str">
        <f t="shared" si="13"/>
        <v>DE225-SDR9</v>
      </c>
      <c r="L870">
        <f>VLOOKUP(K870,'[1]Tarif - Evolution Marché'!$F:$K,6,0)</f>
        <v>35.608284810126584</v>
      </c>
    </row>
    <row r="871" spans="1:12" x14ac:dyDescent="0.3">
      <c r="A871" s="14" t="s">
        <v>23</v>
      </c>
      <c r="B871" s="15">
        <v>250</v>
      </c>
      <c r="C871" s="15" t="s">
        <v>10</v>
      </c>
      <c r="D871" s="15">
        <v>20</v>
      </c>
      <c r="E871" s="22">
        <v>43.89</v>
      </c>
      <c r="F871" s="15" t="s">
        <v>18</v>
      </c>
      <c r="G871" s="15" t="s">
        <v>15</v>
      </c>
      <c r="H871" s="17">
        <v>46630</v>
      </c>
      <c r="I871" s="15">
        <v>672</v>
      </c>
      <c r="J871" s="18">
        <v>784</v>
      </c>
      <c r="K871" t="str">
        <f t="shared" si="13"/>
        <v>DE250-SDR9</v>
      </c>
      <c r="L871">
        <f>VLOOKUP(K871,'[1]Tarif - Evolution Marché'!$F:$K,6,0)</f>
        <v>43.894489451476794</v>
      </c>
    </row>
    <row r="872" spans="1:12" x14ac:dyDescent="0.3">
      <c r="A872" s="8" t="s">
        <v>23</v>
      </c>
      <c r="B872" s="11">
        <v>280</v>
      </c>
      <c r="C872" s="11" t="s">
        <v>10</v>
      </c>
      <c r="D872" s="11">
        <v>20</v>
      </c>
      <c r="E872" s="22">
        <v>55.09</v>
      </c>
      <c r="F872" s="11" t="s">
        <v>18</v>
      </c>
      <c r="G872" s="11" t="s">
        <v>15</v>
      </c>
      <c r="H872" s="12">
        <v>46630</v>
      </c>
      <c r="I872" s="11">
        <v>672</v>
      </c>
      <c r="J872" s="13">
        <v>784</v>
      </c>
      <c r="K872" t="str">
        <f t="shared" si="13"/>
        <v>DE280-SDR9</v>
      </c>
      <c r="L872">
        <f>VLOOKUP(K872,'[1]Tarif - Evolution Marché'!$F:$K,6,0)</f>
        <v>55.09206329113924</v>
      </c>
    </row>
    <row r="873" spans="1:12" x14ac:dyDescent="0.3">
      <c r="A873" s="14" t="s">
        <v>23</v>
      </c>
      <c r="B873" s="15">
        <v>315</v>
      </c>
      <c r="C873" s="15" t="s">
        <v>10</v>
      </c>
      <c r="D873" s="15">
        <v>20</v>
      </c>
      <c r="E873" s="22">
        <v>69.650000000000006</v>
      </c>
      <c r="F873" s="15" t="s">
        <v>18</v>
      </c>
      <c r="G873" s="15" t="s">
        <v>15</v>
      </c>
      <c r="H873" s="17">
        <v>46630</v>
      </c>
      <c r="I873" s="15">
        <v>432</v>
      </c>
      <c r="J873" s="18">
        <v>504</v>
      </c>
      <c r="K873" t="str">
        <f t="shared" si="13"/>
        <v>DE315-SDR9</v>
      </c>
      <c r="L873">
        <f>VLOOKUP(K873,'[1]Tarif - Evolution Marché'!$F:$K,6,0)</f>
        <v>69.64890928270043</v>
      </c>
    </row>
    <row r="874" spans="1:12" x14ac:dyDescent="0.3">
      <c r="A874" s="8" t="s">
        <v>23</v>
      </c>
      <c r="B874" s="11">
        <v>355</v>
      </c>
      <c r="C874" s="11" t="s">
        <v>10</v>
      </c>
      <c r="D874" s="11">
        <v>20</v>
      </c>
      <c r="E874" s="22">
        <v>88.46</v>
      </c>
      <c r="F874" s="11" t="s">
        <v>18</v>
      </c>
      <c r="G874" s="11" t="s">
        <v>15</v>
      </c>
      <c r="H874" s="12">
        <v>46630</v>
      </c>
      <c r="I874" s="11">
        <v>360</v>
      </c>
      <c r="J874" s="13">
        <v>420</v>
      </c>
      <c r="K874" t="str">
        <f t="shared" si="13"/>
        <v>DE355-SDR9</v>
      </c>
      <c r="L874">
        <f>VLOOKUP(K874,'[1]Tarif - Evolution Marché'!$F:$K,6,0)</f>
        <v>88.460833333333326</v>
      </c>
    </row>
    <row r="875" spans="1:12" x14ac:dyDescent="0.3">
      <c r="A875" s="14" t="s">
        <v>23</v>
      </c>
      <c r="B875" s="15">
        <v>400</v>
      </c>
      <c r="C875" s="15" t="s">
        <v>10</v>
      </c>
      <c r="D875" s="15">
        <v>20</v>
      </c>
      <c r="E875" s="22">
        <v>112.2</v>
      </c>
      <c r="F875" s="15" t="s">
        <v>18</v>
      </c>
      <c r="G875" s="15" t="s">
        <v>15</v>
      </c>
      <c r="H875" s="17">
        <v>46630</v>
      </c>
      <c r="I875" s="15">
        <v>360</v>
      </c>
      <c r="J875" s="18">
        <v>420</v>
      </c>
      <c r="K875" t="str">
        <f t="shared" si="13"/>
        <v>DE400-SDR9</v>
      </c>
      <c r="L875">
        <f>VLOOKUP(K875,'[1]Tarif - Evolution Marché'!$F:$K,6,0)</f>
        <v>112.19968987341773</v>
      </c>
    </row>
    <row r="876" spans="1:12" x14ac:dyDescent="0.3">
      <c r="A876" s="8" t="s">
        <v>23</v>
      </c>
      <c r="B876" s="11">
        <v>450</v>
      </c>
      <c r="C876" s="11" t="s">
        <v>10</v>
      </c>
      <c r="D876" s="11">
        <v>20</v>
      </c>
      <c r="E876" s="22">
        <v>141.99</v>
      </c>
      <c r="F876" s="11" t="s">
        <v>18</v>
      </c>
      <c r="G876" s="11" t="s">
        <v>15</v>
      </c>
      <c r="H876" s="12">
        <v>46630</v>
      </c>
      <c r="I876" s="11">
        <v>192</v>
      </c>
      <c r="J876" s="13">
        <v>224</v>
      </c>
      <c r="K876" t="str">
        <f t="shared" si="13"/>
        <v>DE450-SDR9</v>
      </c>
      <c r="L876">
        <f>VLOOKUP(K876,'[1]Tarif - Evolution Marché'!$F:$K,6,0)</f>
        <v>141.98523628691981</v>
      </c>
    </row>
    <row r="877" spans="1:12" x14ac:dyDescent="0.3">
      <c r="A877" s="14" t="s">
        <v>23</v>
      </c>
      <c r="B877" s="15">
        <v>500</v>
      </c>
      <c r="C877" s="15" t="s">
        <v>10</v>
      </c>
      <c r="D877" s="15">
        <v>20</v>
      </c>
      <c r="E877" s="22">
        <v>174.91</v>
      </c>
      <c r="F877" s="15" t="s">
        <v>18</v>
      </c>
      <c r="G877" s="15" t="s">
        <v>15</v>
      </c>
      <c r="H877" s="17">
        <v>46630</v>
      </c>
      <c r="I877" s="15">
        <v>192</v>
      </c>
      <c r="J877" s="18">
        <v>224</v>
      </c>
      <c r="K877" t="str">
        <f t="shared" si="13"/>
        <v>DE500-SDR9</v>
      </c>
      <c r="L877">
        <f>VLOOKUP(K877,'[1]Tarif - Evolution Marché'!$F:$K,6,0)</f>
        <v>174.90610337552741</v>
      </c>
    </row>
    <row r="878" spans="1:12" x14ac:dyDescent="0.3">
      <c r="A878" s="8" t="s">
        <v>23</v>
      </c>
      <c r="B878" s="11">
        <v>560</v>
      </c>
      <c r="C878" s="11" t="s">
        <v>10</v>
      </c>
      <c r="D878" s="11">
        <v>20</v>
      </c>
      <c r="E878" s="22">
        <v>219.47</v>
      </c>
      <c r="F878" s="11" t="s">
        <v>18</v>
      </c>
      <c r="G878" s="11" t="s">
        <v>15</v>
      </c>
      <c r="H878" s="12">
        <v>46630</v>
      </c>
      <c r="I878" s="11">
        <v>192</v>
      </c>
      <c r="J878" s="13">
        <v>224</v>
      </c>
      <c r="K878" t="str">
        <f t="shared" si="13"/>
        <v>DE560-SDR9</v>
      </c>
      <c r="L878">
        <f>VLOOKUP(K878,'[1]Tarif - Evolution Marché'!$F:$K,6,0)</f>
        <v>219.47244725738395</v>
      </c>
    </row>
    <row r="879" spans="1:12" x14ac:dyDescent="0.3">
      <c r="A879" s="14" t="s">
        <v>23</v>
      </c>
      <c r="B879" s="15">
        <v>16</v>
      </c>
      <c r="C879" s="15" t="s">
        <v>11</v>
      </c>
      <c r="D879" s="15">
        <v>25</v>
      </c>
      <c r="E879" s="22">
        <v>0.23</v>
      </c>
      <c r="F879" s="15" t="s">
        <v>18</v>
      </c>
      <c r="G879" s="15" t="s">
        <v>15</v>
      </c>
      <c r="H879" s="17">
        <v>46630</v>
      </c>
      <c r="I879" s="17"/>
      <c r="J879" s="18"/>
      <c r="K879" t="str">
        <f t="shared" si="13"/>
        <v>DE16-SDR7,4</v>
      </c>
      <c r="L879">
        <f>VLOOKUP(K879,'[1]Tarif - Evolution Marché'!$F:$K,6,0)</f>
        <v>0.2306700210970464</v>
      </c>
    </row>
    <row r="880" spans="1:12" x14ac:dyDescent="0.3">
      <c r="A880" s="8" t="s">
        <v>23</v>
      </c>
      <c r="B880" s="11">
        <v>20</v>
      </c>
      <c r="C880" s="11" t="s">
        <v>11</v>
      </c>
      <c r="D880" s="11">
        <v>25</v>
      </c>
      <c r="E880" s="22">
        <v>0.37</v>
      </c>
      <c r="F880" s="11" t="s">
        <v>18</v>
      </c>
      <c r="G880" s="11" t="s">
        <v>15</v>
      </c>
      <c r="H880" s="12">
        <v>46630</v>
      </c>
      <c r="I880" s="12"/>
      <c r="J880" s="13"/>
      <c r="K880" t="str">
        <f t="shared" si="13"/>
        <v>DE20-SDR7,4</v>
      </c>
      <c r="L880">
        <f>VLOOKUP(K880,'[1]Tarif - Evolution Marché'!$F:$K,6,0)</f>
        <v>0.36728042194092825</v>
      </c>
    </row>
    <row r="881" spans="1:12" x14ac:dyDescent="0.3">
      <c r="A881" s="14" t="s">
        <v>23</v>
      </c>
      <c r="B881" s="15">
        <v>25</v>
      </c>
      <c r="C881" s="15" t="s">
        <v>11</v>
      </c>
      <c r="D881" s="15">
        <v>25</v>
      </c>
      <c r="E881" s="22">
        <v>0.54</v>
      </c>
      <c r="F881" s="15" t="s">
        <v>18</v>
      </c>
      <c r="G881" s="15" t="s">
        <v>15</v>
      </c>
      <c r="H881" s="17">
        <v>46630</v>
      </c>
      <c r="I881" s="17"/>
      <c r="J881" s="18"/>
      <c r="K881" t="str">
        <f t="shared" si="13"/>
        <v>DE25-SDR7,4</v>
      </c>
      <c r="L881">
        <f>VLOOKUP(K881,'[1]Tarif - Evolution Marché'!$F:$K,6,0)</f>
        <v>0.54420208860759489</v>
      </c>
    </row>
    <row r="882" spans="1:12" x14ac:dyDescent="0.3">
      <c r="A882" s="8" t="s">
        <v>23</v>
      </c>
      <c r="B882" s="11">
        <v>32</v>
      </c>
      <c r="C882" s="11" t="s">
        <v>11</v>
      </c>
      <c r="D882" s="11">
        <v>25</v>
      </c>
      <c r="E882" s="22">
        <v>0.87</v>
      </c>
      <c r="F882" s="11" t="s">
        <v>18</v>
      </c>
      <c r="G882" s="11" t="s">
        <v>15</v>
      </c>
      <c r="H882" s="12">
        <v>46630</v>
      </c>
      <c r="I882" s="12"/>
      <c r="J882" s="13"/>
      <c r="K882" t="str">
        <f t="shared" si="13"/>
        <v>DE32-SDR7,4</v>
      </c>
      <c r="L882">
        <f>VLOOKUP(K882,'[1]Tarif - Evolution Marché'!$F:$K,6,0)</f>
        <v>0.87341075949367086</v>
      </c>
    </row>
    <row r="883" spans="1:12" x14ac:dyDescent="0.3">
      <c r="A883" s="14" t="s">
        <v>23</v>
      </c>
      <c r="B883" s="15">
        <v>40</v>
      </c>
      <c r="C883" s="15" t="s">
        <v>11</v>
      </c>
      <c r="D883" s="15">
        <v>25</v>
      </c>
      <c r="E883" s="22">
        <v>1.36</v>
      </c>
      <c r="F883" s="15" t="s">
        <v>18</v>
      </c>
      <c r="G883" s="15" t="s">
        <v>15</v>
      </c>
      <c r="H883" s="17">
        <v>46630</v>
      </c>
      <c r="I883" s="17"/>
      <c r="J883" s="18"/>
      <c r="K883" t="str">
        <f t="shared" si="13"/>
        <v>DE40-SDR7,4</v>
      </c>
      <c r="L883">
        <f>VLOOKUP(K883,'[1]Tarif - Evolution Marché'!$F:$K,6,0)</f>
        <v>1.3593854641350209</v>
      </c>
    </row>
    <row r="884" spans="1:12" x14ac:dyDescent="0.3">
      <c r="A884" s="8" t="s">
        <v>23</v>
      </c>
      <c r="B884" s="11">
        <v>50</v>
      </c>
      <c r="C884" s="11" t="s">
        <v>11</v>
      </c>
      <c r="D884" s="11">
        <v>25</v>
      </c>
      <c r="E884" s="22">
        <v>2.12</v>
      </c>
      <c r="F884" s="11" t="s">
        <v>18</v>
      </c>
      <c r="G884" s="11" t="s">
        <v>15</v>
      </c>
      <c r="H884" s="12">
        <v>46630</v>
      </c>
      <c r="I884" s="12"/>
      <c r="J884" s="13"/>
      <c r="K884" t="str">
        <f t="shared" si="13"/>
        <v>DE50-SDR7,4</v>
      </c>
      <c r="L884">
        <f>VLOOKUP(K884,'[1]Tarif - Evolution Marché'!$F:$K,6,0)</f>
        <v>2.1163414556962024</v>
      </c>
    </row>
    <row r="885" spans="1:12" x14ac:dyDescent="0.3">
      <c r="A885" s="14" t="s">
        <v>23</v>
      </c>
      <c r="B885" s="15">
        <v>63</v>
      </c>
      <c r="C885" s="15" t="s">
        <v>11</v>
      </c>
      <c r="D885" s="15">
        <v>25</v>
      </c>
      <c r="E885" s="22">
        <v>3.34</v>
      </c>
      <c r="F885" s="15" t="s">
        <v>18</v>
      </c>
      <c r="G885" s="15" t="s">
        <v>15</v>
      </c>
      <c r="H885" s="17">
        <v>46630</v>
      </c>
      <c r="I885" s="17"/>
      <c r="J885" s="18"/>
      <c r="K885" t="str">
        <f t="shared" si="13"/>
        <v>DE63-SDR7,4</v>
      </c>
      <c r="L885">
        <f>VLOOKUP(K885,'[1]Tarif - Evolution Marché'!$F:$K,6,0)</f>
        <v>3.3368770042194091</v>
      </c>
    </row>
    <row r="886" spans="1:12" x14ac:dyDescent="0.3">
      <c r="A886" s="8" t="s">
        <v>23</v>
      </c>
      <c r="B886" s="11">
        <v>75</v>
      </c>
      <c r="C886" s="11" t="s">
        <v>11</v>
      </c>
      <c r="D886" s="11">
        <v>25</v>
      </c>
      <c r="E886" s="22">
        <v>4.75</v>
      </c>
      <c r="F886" s="11" t="s">
        <v>18</v>
      </c>
      <c r="G886" s="11" t="s">
        <v>15</v>
      </c>
      <c r="H886" s="12">
        <v>46630</v>
      </c>
      <c r="I886" s="12"/>
      <c r="J886" s="13"/>
      <c r="K886" t="str">
        <f t="shared" si="13"/>
        <v>DE75-SDR7,4</v>
      </c>
      <c r="L886">
        <f>VLOOKUP(K886,'[1]Tarif - Evolution Marché'!$F:$K,6,0)</f>
        <v>4.747771308016878</v>
      </c>
    </row>
    <row r="887" spans="1:12" x14ac:dyDescent="0.3">
      <c r="A887" s="14" t="s">
        <v>23</v>
      </c>
      <c r="B887" s="15">
        <v>90</v>
      </c>
      <c r="C887" s="15" t="s">
        <v>11</v>
      </c>
      <c r="D887" s="15">
        <v>25</v>
      </c>
      <c r="E887" s="22">
        <v>6.79</v>
      </c>
      <c r="F887" s="15" t="s">
        <v>18</v>
      </c>
      <c r="G887" s="15" t="s">
        <v>15</v>
      </c>
      <c r="H887" s="17">
        <v>46630</v>
      </c>
      <c r="I887" s="17"/>
      <c r="J887" s="18"/>
      <c r="K887" t="str">
        <f t="shared" si="13"/>
        <v>DE90-SDR7,4</v>
      </c>
      <c r="L887">
        <f>VLOOKUP(K887,'[1]Tarif - Evolution Marché'!$F:$K,6,0)</f>
        <v>6.7857297468354423</v>
      </c>
    </row>
    <row r="888" spans="1:12" x14ac:dyDescent="0.3">
      <c r="A888" s="8" t="s">
        <v>23</v>
      </c>
      <c r="B888" s="11">
        <v>110</v>
      </c>
      <c r="C888" s="11" t="s">
        <v>11</v>
      </c>
      <c r="D888" s="11">
        <v>25</v>
      </c>
      <c r="E888" s="22">
        <v>10.17</v>
      </c>
      <c r="F888" s="11" t="s">
        <v>18</v>
      </c>
      <c r="G888" s="11" t="s">
        <v>15</v>
      </c>
      <c r="H888" s="12">
        <v>46630</v>
      </c>
      <c r="I888" s="12"/>
      <c r="J888" s="13"/>
      <c r="K888" t="str">
        <f t="shared" si="13"/>
        <v>DE110-SDR7,4</v>
      </c>
      <c r="L888">
        <f>VLOOKUP(K888,'[1]Tarif - Evolution Marché'!$F:$K,6,0)</f>
        <v>10.167397046413502</v>
      </c>
    </row>
    <row r="889" spans="1:12" x14ac:dyDescent="0.3">
      <c r="A889" s="14" t="s">
        <v>23</v>
      </c>
      <c r="B889" s="15">
        <v>125</v>
      </c>
      <c r="C889" s="15" t="s">
        <v>11</v>
      </c>
      <c r="D889" s="15">
        <v>25</v>
      </c>
      <c r="E889" s="22">
        <v>13.08</v>
      </c>
      <c r="F889" s="15" t="s">
        <v>18</v>
      </c>
      <c r="G889" s="15" t="s">
        <v>15</v>
      </c>
      <c r="H889" s="17">
        <v>46630</v>
      </c>
      <c r="I889" s="15">
        <v>2400</v>
      </c>
      <c r="J889" s="18">
        <v>2800</v>
      </c>
      <c r="K889" t="str">
        <f t="shared" si="13"/>
        <v>DE125-SDR7,4</v>
      </c>
      <c r="L889">
        <f>VLOOKUP(K889,'[1]Tarif - Evolution Marché'!$F:$K,6,0)</f>
        <v>13.078766244725738</v>
      </c>
    </row>
    <row r="890" spans="1:12" x14ac:dyDescent="0.3">
      <c r="A890" s="8" t="s">
        <v>23</v>
      </c>
      <c r="B890" s="11">
        <v>140</v>
      </c>
      <c r="C890" s="11" t="s">
        <v>11</v>
      </c>
      <c r="D890" s="11">
        <v>25</v>
      </c>
      <c r="E890" s="22">
        <v>16.420000000000002</v>
      </c>
      <c r="F890" s="11" t="s">
        <v>18</v>
      </c>
      <c r="G890" s="11" t="s">
        <v>15</v>
      </c>
      <c r="H890" s="12">
        <v>46630</v>
      </c>
      <c r="I890" s="11">
        <v>1920</v>
      </c>
      <c r="J890" s="13">
        <v>2240</v>
      </c>
      <c r="K890" t="str">
        <f t="shared" si="13"/>
        <v>DE140-SDR7,4</v>
      </c>
      <c r="L890">
        <f>VLOOKUP(K890,'[1]Tarif - Evolution Marché'!$F:$K,6,0)</f>
        <v>16.415643248945148</v>
      </c>
    </row>
    <row r="891" spans="1:12" x14ac:dyDescent="0.3">
      <c r="A891" s="14" t="s">
        <v>23</v>
      </c>
      <c r="B891" s="15">
        <v>160</v>
      </c>
      <c r="C891" s="15" t="s">
        <v>11</v>
      </c>
      <c r="D891" s="15">
        <v>25</v>
      </c>
      <c r="E891" s="22">
        <v>21.36</v>
      </c>
      <c r="F891" s="15" t="s">
        <v>18</v>
      </c>
      <c r="G891" s="15" t="s">
        <v>15</v>
      </c>
      <c r="H891" s="17">
        <v>46630</v>
      </c>
      <c r="I891" s="15">
        <v>1920</v>
      </c>
      <c r="J891" s="18">
        <v>2240</v>
      </c>
      <c r="K891" t="str">
        <f t="shared" si="13"/>
        <v>DE160-SDR7,4</v>
      </c>
      <c r="L891">
        <f>VLOOKUP(K891,'[1]Tarif - Evolution Marché'!$F:$K,6,0)</f>
        <v>21.364970886075948</v>
      </c>
    </row>
    <row r="892" spans="1:12" x14ac:dyDescent="0.3">
      <c r="A892" s="8" t="s">
        <v>23</v>
      </c>
      <c r="B892" s="11">
        <v>180</v>
      </c>
      <c r="C892" s="11" t="s">
        <v>11</v>
      </c>
      <c r="D892" s="11">
        <v>25</v>
      </c>
      <c r="E892" s="22">
        <v>27.1</v>
      </c>
      <c r="F892" s="11" t="s">
        <v>18</v>
      </c>
      <c r="G892" s="11" t="s">
        <v>15</v>
      </c>
      <c r="H892" s="12">
        <v>46630</v>
      </c>
      <c r="I892" s="11">
        <v>1200</v>
      </c>
      <c r="J892" s="13">
        <v>1400</v>
      </c>
      <c r="K892" t="str">
        <f t="shared" si="13"/>
        <v>DE180-SDR7,4</v>
      </c>
      <c r="L892">
        <f>VLOOKUP(K892,'[1]Tarif - Evolution Marché'!$F:$K,6,0)</f>
        <v>27.098128691983121</v>
      </c>
    </row>
    <row r="893" spans="1:12" x14ac:dyDescent="0.3">
      <c r="A893" s="14" t="s">
        <v>23</v>
      </c>
      <c r="B893" s="15">
        <v>200</v>
      </c>
      <c r="C893" s="15" t="s">
        <v>11</v>
      </c>
      <c r="D893" s="15">
        <v>25</v>
      </c>
      <c r="E893" s="22">
        <v>33.369999999999997</v>
      </c>
      <c r="F893" s="15" t="s">
        <v>18</v>
      </c>
      <c r="G893" s="15" t="s">
        <v>15</v>
      </c>
      <c r="H893" s="17">
        <v>46630</v>
      </c>
      <c r="I893" s="15">
        <v>960</v>
      </c>
      <c r="J893" s="18">
        <v>1120</v>
      </c>
      <c r="K893" t="str">
        <f t="shared" si="13"/>
        <v>DE200-SDR7,4</v>
      </c>
      <c r="L893">
        <f>VLOOKUP(K893,'[1]Tarif - Evolution Marché'!$F:$K,6,0)</f>
        <v>33.368770042194093</v>
      </c>
    </row>
    <row r="894" spans="1:12" x14ac:dyDescent="0.3">
      <c r="A894" s="8" t="s">
        <v>23</v>
      </c>
      <c r="B894" s="11">
        <v>225</v>
      </c>
      <c r="C894" s="11" t="s">
        <v>11</v>
      </c>
      <c r="D894" s="11">
        <v>25</v>
      </c>
      <c r="E894" s="22">
        <v>42.1</v>
      </c>
      <c r="F894" s="11" t="s">
        <v>18</v>
      </c>
      <c r="G894" s="11" t="s">
        <v>15</v>
      </c>
      <c r="H894" s="12">
        <v>46630</v>
      </c>
      <c r="I894" s="11">
        <v>960</v>
      </c>
      <c r="J894" s="13">
        <v>1120</v>
      </c>
      <c r="K894" t="str">
        <f t="shared" si="13"/>
        <v>DE225-SDR7,4</v>
      </c>
      <c r="L894">
        <f>VLOOKUP(K894,'[1]Tarif - Evolution Marché'!$F:$K,6,0)</f>
        <v>42.102877637130803</v>
      </c>
    </row>
    <row r="895" spans="1:12" x14ac:dyDescent="0.3">
      <c r="A895" s="14" t="s">
        <v>23</v>
      </c>
      <c r="B895" s="15">
        <v>250</v>
      </c>
      <c r="C895" s="15" t="s">
        <v>11</v>
      </c>
      <c r="D895" s="15">
        <v>25</v>
      </c>
      <c r="E895" s="22">
        <v>52.18</v>
      </c>
      <c r="F895" s="15" t="s">
        <v>18</v>
      </c>
      <c r="G895" s="15" t="s">
        <v>15</v>
      </c>
      <c r="H895" s="17">
        <v>46630</v>
      </c>
      <c r="I895" s="15">
        <v>672</v>
      </c>
      <c r="J895" s="18">
        <v>784</v>
      </c>
      <c r="K895" t="str">
        <f t="shared" si="13"/>
        <v>DE250-SDR7,4</v>
      </c>
      <c r="L895">
        <f>VLOOKUP(K895,'[1]Tarif - Evolution Marché'!$F:$K,6,0)</f>
        <v>52.180694092827004</v>
      </c>
    </row>
    <row r="896" spans="1:12" x14ac:dyDescent="0.3">
      <c r="A896" s="8" t="s">
        <v>23</v>
      </c>
      <c r="B896" s="11">
        <v>280</v>
      </c>
      <c r="C896" s="11" t="s">
        <v>11</v>
      </c>
      <c r="D896" s="11">
        <v>25</v>
      </c>
      <c r="E896" s="22">
        <v>65.39</v>
      </c>
      <c r="F896" s="11" t="s">
        <v>18</v>
      </c>
      <c r="G896" s="11" t="s">
        <v>15</v>
      </c>
      <c r="H896" s="12">
        <v>46630</v>
      </c>
      <c r="I896" s="11">
        <v>672</v>
      </c>
      <c r="J896" s="13">
        <v>784</v>
      </c>
      <c r="K896" t="str">
        <f t="shared" si="13"/>
        <v>DE280-SDR7,4</v>
      </c>
      <c r="L896">
        <f>VLOOKUP(K896,'[1]Tarif - Evolution Marché'!$F:$K,6,0)</f>
        <v>65.393831223628695</v>
      </c>
    </row>
    <row r="897" spans="1:12" x14ac:dyDescent="0.3">
      <c r="A897" s="14" t="s">
        <v>23</v>
      </c>
      <c r="B897" s="15">
        <v>315</v>
      </c>
      <c r="C897" s="15" t="s">
        <v>11</v>
      </c>
      <c r="D897" s="15">
        <v>25</v>
      </c>
      <c r="E897" s="22">
        <v>82.64</v>
      </c>
      <c r="F897" s="15" t="s">
        <v>18</v>
      </c>
      <c r="G897" s="15" t="s">
        <v>15</v>
      </c>
      <c r="H897" s="17">
        <v>46630</v>
      </c>
      <c r="I897" s="15">
        <v>432</v>
      </c>
      <c r="J897" s="18">
        <v>504</v>
      </c>
      <c r="K897" t="str">
        <f t="shared" si="13"/>
        <v>DE315-SDR7,4</v>
      </c>
      <c r="L897">
        <f>VLOOKUP(K897,'[1]Tarif - Evolution Marché'!$F:$K,6,0)</f>
        <v>82.638094936708853</v>
      </c>
    </row>
    <row r="898" spans="1:12" x14ac:dyDescent="0.3">
      <c r="A898" s="8" t="s">
        <v>23</v>
      </c>
      <c r="B898" s="11">
        <v>355</v>
      </c>
      <c r="C898" s="11" t="s">
        <v>11</v>
      </c>
      <c r="D898" s="11">
        <v>25</v>
      </c>
      <c r="E898" s="22">
        <v>104.81</v>
      </c>
      <c r="F898" s="11" t="s">
        <v>18</v>
      </c>
      <c r="G898" s="11" t="s">
        <v>15</v>
      </c>
      <c r="H898" s="12">
        <v>46630</v>
      </c>
      <c r="I898" s="11">
        <v>360</v>
      </c>
      <c r="J898" s="13">
        <v>420</v>
      </c>
      <c r="K898" t="str">
        <f t="shared" si="13"/>
        <v>DE355-SDR7,4</v>
      </c>
      <c r="L898">
        <f>VLOOKUP(K898,'[1]Tarif - Evolution Marché'!$F:$K,6,0)</f>
        <v>104.8092911392405</v>
      </c>
    </row>
    <row r="899" spans="1:12" x14ac:dyDescent="0.3">
      <c r="A899" s="14" t="s">
        <v>23</v>
      </c>
      <c r="B899" s="15">
        <v>400</v>
      </c>
      <c r="C899" s="15" t="s">
        <v>11</v>
      </c>
      <c r="D899" s="15">
        <v>25</v>
      </c>
      <c r="E899" s="22">
        <v>133.03</v>
      </c>
      <c r="F899" s="15" t="s">
        <v>18</v>
      </c>
      <c r="G899" s="15" t="s">
        <v>15</v>
      </c>
      <c r="H899" s="17">
        <v>46630</v>
      </c>
      <c r="I899" s="15">
        <v>360</v>
      </c>
      <c r="J899" s="18">
        <v>420</v>
      </c>
      <c r="K899" t="str">
        <f t="shared" ref="K899:K962" si="14">CONCATENATE("DE",B899,"-",C899)</f>
        <v>DE400-SDR7,4</v>
      </c>
      <c r="L899">
        <f>VLOOKUP(K899,'[1]Tarif - Evolution Marché'!$F:$K,6,0)</f>
        <v>133.02717721518988</v>
      </c>
    </row>
    <row r="900" spans="1:12" x14ac:dyDescent="0.3">
      <c r="A900" s="8" t="s">
        <v>23</v>
      </c>
      <c r="B900" s="11">
        <v>450</v>
      </c>
      <c r="C900" s="11" t="s">
        <v>11</v>
      </c>
      <c r="D900" s="11">
        <v>25</v>
      </c>
      <c r="E900" s="22">
        <v>168.41</v>
      </c>
      <c r="F900" s="11" t="s">
        <v>18</v>
      </c>
      <c r="G900" s="11" t="s">
        <v>15</v>
      </c>
      <c r="H900" s="12">
        <v>46630</v>
      </c>
      <c r="I900" s="11">
        <v>192</v>
      </c>
      <c r="J900" s="13">
        <v>224</v>
      </c>
      <c r="K900" t="str">
        <f t="shared" si="14"/>
        <v>DE450-SDR7,4</v>
      </c>
      <c r="L900">
        <f>VLOOKUP(K900,'[1]Tarif - Evolution Marché'!$F:$K,6,0)</f>
        <v>168.41151054852321</v>
      </c>
    </row>
    <row r="901" spans="1:12" x14ac:dyDescent="0.3">
      <c r="A901" s="14" t="s">
        <v>23</v>
      </c>
      <c r="B901" s="15">
        <v>500</v>
      </c>
      <c r="C901" s="15" t="s">
        <v>11</v>
      </c>
      <c r="D901" s="15">
        <v>25</v>
      </c>
      <c r="E901" s="22">
        <v>207.83</v>
      </c>
      <c r="F901" s="15" t="s">
        <v>18</v>
      </c>
      <c r="G901" s="15" t="s">
        <v>15</v>
      </c>
      <c r="H901" s="17">
        <v>46630</v>
      </c>
      <c r="I901" s="15">
        <v>192</v>
      </c>
      <c r="J901" s="18">
        <v>224</v>
      </c>
      <c r="K901" t="str">
        <f t="shared" si="14"/>
        <v>DE500-SDR7,4</v>
      </c>
      <c r="L901">
        <f>VLOOKUP(K901,'[1]Tarif - Evolution Marché'!$F:$K,6,0)</f>
        <v>207.826970464135</v>
      </c>
    </row>
    <row r="902" spans="1:12" x14ac:dyDescent="0.3">
      <c r="A902" s="8" t="s">
        <v>23</v>
      </c>
      <c r="B902" s="11">
        <v>63</v>
      </c>
      <c r="C902" s="11" t="s">
        <v>3</v>
      </c>
      <c r="D902" s="11">
        <v>4</v>
      </c>
      <c r="E902" s="21">
        <v>0.89</v>
      </c>
      <c r="F902" s="11" t="s">
        <v>18</v>
      </c>
      <c r="G902" s="11" t="s">
        <v>16</v>
      </c>
      <c r="H902" s="12">
        <v>46630</v>
      </c>
      <c r="I902" s="12"/>
      <c r="J902" s="13"/>
      <c r="K902" t="str">
        <f t="shared" si="14"/>
        <v>DE63-SDR41</v>
      </c>
      <c r="L902">
        <f>VLOOKUP(K902,'[1]Tarif - Evolution Marché'!$F:$L,7,0)</f>
        <v>0.88920523206751034</v>
      </c>
    </row>
    <row r="903" spans="1:12" x14ac:dyDescent="0.3">
      <c r="A903" s="14" t="s">
        <v>23</v>
      </c>
      <c r="B903" s="15">
        <v>75</v>
      </c>
      <c r="C903" s="15" t="s">
        <v>3</v>
      </c>
      <c r="D903" s="15">
        <v>4</v>
      </c>
      <c r="E903" s="21">
        <v>1.1200000000000001</v>
      </c>
      <c r="F903" s="15" t="s">
        <v>18</v>
      </c>
      <c r="G903" s="15" t="s">
        <v>16</v>
      </c>
      <c r="H903" s="17">
        <v>46630</v>
      </c>
      <c r="I903" s="17"/>
      <c r="J903" s="18"/>
      <c r="K903" t="str">
        <f t="shared" si="14"/>
        <v>DE75-SDR41</v>
      </c>
      <c r="L903">
        <f>VLOOKUP(K903,'[1]Tarif - Evolution Marché'!$F:$L,7,0)</f>
        <v>1.1163391772151898</v>
      </c>
    </row>
    <row r="904" spans="1:12" x14ac:dyDescent="0.3">
      <c r="A904" s="8" t="s">
        <v>23</v>
      </c>
      <c r="B904" s="11">
        <v>90</v>
      </c>
      <c r="C904" s="11" t="s">
        <v>3</v>
      </c>
      <c r="D904" s="11">
        <v>4</v>
      </c>
      <c r="E904" s="21">
        <v>1.56</v>
      </c>
      <c r="F904" s="11" t="s">
        <v>18</v>
      </c>
      <c r="G904" s="11" t="s">
        <v>16</v>
      </c>
      <c r="H904" s="12">
        <v>46630</v>
      </c>
      <c r="I904" s="12"/>
      <c r="J904" s="13"/>
      <c r="K904" t="str">
        <f t="shared" si="14"/>
        <v>DE90-SDR41</v>
      </c>
      <c r="L904">
        <f>VLOOKUP(K904,'[1]Tarif - Evolution Marché'!$F:$L,7,0)</f>
        <v>1.5633581118143458</v>
      </c>
    </row>
    <row r="905" spans="1:12" x14ac:dyDescent="0.3">
      <c r="A905" s="14" t="s">
        <v>23</v>
      </c>
      <c r="B905" s="15">
        <v>110</v>
      </c>
      <c r="C905" s="15" t="s">
        <v>3</v>
      </c>
      <c r="D905" s="15">
        <v>4</v>
      </c>
      <c r="E905" s="21">
        <v>2.2999999999999998</v>
      </c>
      <c r="F905" s="15" t="s">
        <v>18</v>
      </c>
      <c r="G905" s="15" t="s">
        <v>16</v>
      </c>
      <c r="H905" s="17">
        <v>46630</v>
      </c>
      <c r="I905" s="17"/>
      <c r="J905" s="18"/>
      <c r="K905" t="str">
        <f t="shared" si="14"/>
        <v>DE110-SDR41</v>
      </c>
      <c r="L905">
        <f>VLOOKUP(K905,'[1]Tarif - Evolution Marché'!$F:$L,7,0)</f>
        <v>2.3003352742616028</v>
      </c>
    </row>
    <row r="906" spans="1:12" x14ac:dyDescent="0.3">
      <c r="A906" s="8" t="s">
        <v>23</v>
      </c>
      <c r="B906" s="11">
        <v>125</v>
      </c>
      <c r="C906" s="11" t="s">
        <v>3</v>
      </c>
      <c r="D906" s="11">
        <v>4</v>
      </c>
      <c r="E906" s="21">
        <v>3.02</v>
      </c>
      <c r="F906" s="11" t="s">
        <v>18</v>
      </c>
      <c r="G906" s="11" t="s">
        <v>16</v>
      </c>
      <c r="H906" s="12">
        <v>46630</v>
      </c>
      <c r="I906" s="11">
        <v>2400</v>
      </c>
      <c r="J906" s="13">
        <v>2800</v>
      </c>
      <c r="K906" t="str">
        <f t="shared" si="14"/>
        <v>DE125-SDR41</v>
      </c>
      <c r="L906">
        <f>VLOOKUP(K906,'[1]Tarif - Evolution Marché'!$F:$L,7,0)</f>
        <v>3.0203982067510542</v>
      </c>
    </row>
    <row r="907" spans="1:12" x14ac:dyDescent="0.3">
      <c r="A907" s="14" t="s">
        <v>23</v>
      </c>
      <c r="B907" s="15">
        <v>140</v>
      </c>
      <c r="C907" s="15" t="s">
        <v>3</v>
      </c>
      <c r="D907" s="15">
        <v>4</v>
      </c>
      <c r="E907" s="21">
        <v>3.77</v>
      </c>
      <c r="F907" s="15" t="s">
        <v>18</v>
      </c>
      <c r="G907" s="15" t="s">
        <v>16</v>
      </c>
      <c r="H907" s="17">
        <v>46630</v>
      </c>
      <c r="I907" s="15">
        <v>1920</v>
      </c>
      <c r="J907" s="18">
        <v>2240</v>
      </c>
      <c r="K907" t="str">
        <f t="shared" si="14"/>
        <v>DE140-SDR41</v>
      </c>
      <c r="L907">
        <f>VLOOKUP(K907,'[1]Tarif - Evolution Marché'!$F:$L,7,0)</f>
        <v>3.7694569620253158</v>
      </c>
    </row>
    <row r="908" spans="1:12" x14ac:dyDescent="0.3">
      <c r="A908" s="8" t="s">
        <v>23</v>
      </c>
      <c r="B908" s="11">
        <v>160</v>
      </c>
      <c r="C908" s="11" t="s">
        <v>3</v>
      </c>
      <c r="D908" s="11">
        <v>4</v>
      </c>
      <c r="E908" s="21">
        <v>4.88</v>
      </c>
      <c r="F908" s="11" t="s">
        <v>18</v>
      </c>
      <c r="G908" s="11" t="s">
        <v>16</v>
      </c>
      <c r="H908" s="12">
        <v>46630</v>
      </c>
      <c r="I908" s="11">
        <v>1920</v>
      </c>
      <c r="J908" s="13">
        <v>2240</v>
      </c>
      <c r="K908" t="str">
        <f t="shared" si="14"/>
        <v>DE160-SDR41</v>
      </c>
      <c r="L908">
        <f>VLOOKUP(K908,'[1]Tarif - Evolution Marché'!$F:$L,7,0)</f>
        <v>4.8809635021097035</v>
      </c>
    </row>
    <row r="909" spans="1:12" x14ac:dyDescent="0.3">
      <c r="A909" s="14" t="s">
        <v>23</v>
      </c>
      <c r="B909" s="15">
        <v>180</v>
      </c>
      <c r="C909" s="15" t="s">
        <v>3</v>
      </c>
      <c r="D909" s="15">
        <v>4</v>
      </c>
      <c r="E909" s="21">
        <v>6.06</v>
      </c>
      <c r="F909" s="15" t="s">
        <v>18</v>
      </c>
      <c r="G909" s="15" t="s">
        <v>16</v>
      </c>
      <c r="H909" s="17">
        <v>46630</v>
      </c>
      <c r="I909" s="15">
        <v>1200</v>
      </c>
      <c r="J909" s="18">
        <v>1400</v>
      </c>
      <c r="K909" t="str">
        <f t="shared" si="14"/>
        <v>DE180-SDR41</v>
      </c>
      <c r="L909">
        <f>VLOOKUP(K909,'[1]Tarif - Evolution Marché'!$F:$L,7,0)</f>
        <v>6.0649595991561167</v>
      </c>
    </row>
    <row r="910" spans="1:12" x14ac:dyDescent="0.3">
      <c r="A910" s="8" t="s">
        <v>23</v>
      </c>
      <c r="B910" s="11">
        <v>200</v>
      </c>
      <c r="C910" s="11" t="s">
        <v>3</v>
      </c>
      <c r="D910" s="11">
        <v>4</v>
      </c>
      <c r="E910" s="21">
        <v>7.44</v>
      </c>
      <c r="F910" s="11" t="s">
        <v>18</v>
      </c>
      <c r="G910" s="11" t="s">
        <v>16</v>
      </c>
      <c r="H910" s="12">
        <v>46630</v>
      </c>
      <c r="I910" s="11">
        <v>960</v>
      </c>
      <c r="J910" s="13">
        <v>1120</v>
      </c>
      <c r="K910" t="str">
        <f t="shared" si="14"/>
        <v>DE200-SDR41</v>
      </c>
      <c r="L910">
        <f>VLOOKUP(K910,'[1]Tarif - Evolution Marché'!$F:$L,7,0)</f>
        <v>7.4422611814345982</v>
      </c>
    </row>
    <row r="911" spans="1:12" x14ac:dyDescent="0.3">
      <c r="A911" s="14" t="s">
        <v>23</v>
      </c>
      <c r="B911" s="15">
        <v>225</v>
      </c>
      <c r="C911" s="15" t="s">
        <v>3</v>
      </c>
      <c r="D911" s="15">
        <v>4</v>
      </c>
      <c r="E911" s="21">
        <v>9.42</v>
      </c>
      <c r="F911" s="15" t="s">
        <v>18</v>
      </c>
      <c r="G911" s="15" t="s">
        <v>16</v>
      </c>
      <c r="H911" s="17">
        <v>46630</v>
      </c>
      <c r="I911" s="15">
        <v>960</v>
      </c>
      <c r="J911" s="18">
        <v>1120</v>
      </c>
      <c r="K911" t="str">
        <f t="shared" si="14"/>
        <v>DE225-SDR41</v>
      </c>
      <c r="L911">
        <f>VLOOKUP(K911,'[1]Tarif - Evolution Marché'!$F:$L,7,0)</f>
        <v>9.4236424050632888</v>
      </c>
    </row>
    <row r="912" spans="1:12" x14ac:dyDescent="0.3">
      <c r="A912" s="8" t="s">
        <v>23</v>
      </c>
      <c r="B912" s="11">
        <v>250</v>
      </c>
      <c r="C912" s="11" t="s">
        <v>3</v>
      </c>
      <c r="D912" s="11">
        <v>4</v>
      </c>
      <c r="E912" s="21">
        <v>11.79</v>
      </c>
      <c r="F912" s="11" t="s">
        <v>18</v>
      </c>
      <c r="G912" s="11" t="s">
        <v>16</v>
      </c>
      <c r="H912" s="12">
        <v>46630</v>
      </c>
      <c r="I912" s="11">
        <v>672</v>
      </c>
      <c r="J912" s="13">
        <v>784</v>
      </c>
      <c r="K912" t="str">
        <f t="shared" si="14"/>
        <v>DE250-SDR41</v>
      </c>
      <c r="L912">
        <f>VLOOKUP(K912,'[1]Tarif - Evolution Marché'!$F:$L,7,0)</f>
        <v>11.791634599156115</v>
      </c>
    </row>
    <row r="913" spans="1:12" x14ac:dyDescent="0.3">
      <c r="A913" s="14" t="s">
        <v>23</v>
      </c>
      <c r="B913" s="15">
        <v>280</v>
      </c>
      <c r="C913" s="15" t="s">
        <v>3</v>
      </c>
      <c r="D913" s="15">
        <v>4</v>
      </c>
      <c r="E913" s="21">
        <v>14.59</v>
      </c>
      <c r="F913" s="15" t="s">
        <v>18</v>
      </c>
      <c r="G913" s="15" t="s">
        <v>16</v>
      </c>
      <c r="H913" s="17">
        <v>46630</v>
      </c>
      <c r="I913" s="15">
        <v>672</v>
      </c>
      <c r="J913" s="18">
        <v>784</v>
      </c>
      <c r="K913" t="str">
        <f t="shared" si="14"/>
        <v>DE280-SDR41</v>
      </c>
      <c r="L913">
        <f>VLOOKUP(K913,'[1]Tarif - Evolution Marché'!$F:$L,7,0)</f>
        <v>14.594564135021095</v>
      </c>
    </row>
    <row r="914" spans="1:12" x14ac:dyDescent="0.3">
      <c r="A914" s="8" t="s">
        <v>23</v>
      </c>
      <c r="B914" s="11">
        <v>315</v>
      </c>
      <c r="C914" s="11" t="s">
        <v>3</v>
      </c>
      <c r="D914" s="11">
        <v>4</v>
      </c>
      <c r="E914" s="21">
        <v>18.34</v>
      </c>
      <c r="F914" s="11" t="s">
        <v>18</v>
      </c>
      <c r="G914" s="11" t="s">
        <v>16</v>
      </c>
      <c r="H914" s="12">
        <v>46630</v>
      </c>
      <c r="I914" s="11">
        <v>432</v>
      </c>
      <c r="J914" s="13">
        <v>504</v>
      </c>
      <c r="K914" t="str">
        <f t="shared" si="14"/>
        <v>DE315-SDR41</v>
      </c>
      <c r="L914">
        <f>VLOOKUP(K914,'[1]Tarif - Evolution Marché'!$F:$L,7,0)</f>
        <v>18.3398579113924</v>
      </c>
    </row>
    <row r="915" spans="1:12" x14ac:dyDescent="0.3">
      <c r="A915" s="14" t="s">
        <v>23</v>
      </c>
      <c r="B915" s="15">
        <v>355</v>
      </c>
      <c r="C915" s="15" t="s">
        <v>3</v>
      </c>
      <c r="D915" s="15">
        <v>4</v>
      </c>
      <c r="E915" s="21">
        <v>23.32</v>
      </c>
      <c r="F915" s="15" t="s">
        <v>18</v>
      </c>
      <c r="G915" s="15" t="s">
        <v>16</v>
      </c>
      <c r="H915" s="17">
        <v>46630</v>
      </c>
      <c r="I915" s="15">
        <v>360</v>
      </c>
      <c r="J915" s="18">
        <v>420</v>
      </c>
      <c r="K915" t="str">
        <f t="shared" si="14"/>
        <v>DE355-SDR41</v>
      </c>
      <c r="L915">
        <f>VLOOKUP(K915,'[1]Tarif - Evolution Marché'!$F:$L,7,0)</f>
        <v>23.317474156118141</v>
      </c>
    </row>
    <row r="916" spans="1:12" x14ac:dyDescent="0.3">
      <c r="A916" s="8" t="s">
        <v>23</v>
      </c>
      <c r="B916" s="11">
        <v>400</v>
      </c>
      <c r="C916" s="11" t="s">
        <v>3</v>
      </c>
      <c r="D916" s="11">
        <v>4</v>
      </c>
      <c r="E916" s="21">
        <v>29.48</v>
      </c>
      <c r="F916" s="11" t="s">
        <v>18</v>
      </c>
      <c r="G916" s="11" t="s">
        <v>16</v>
      </c>
      <c r="H916" s="12">
        <v>46630</v>
      </c>
      <c r="I916" s="11">
        <v>360</v>
      </c>
      <c r="J916" s="13">
        <v>420</v>
      </c>
      <c r="K916" t="str">
        <f t="shared" si="14"/>
        <v>DE400-SDR41</v>
      </c>
      <c r="L916">
        <f>VLOOKUP(K916,'[1]Tarif - Evolution Marché'!$F:$L,7,0)</f>
        <v>29.47908649789029</v>
      </c>
    </row>
    <row r="917" spans="1:12" x14ac:dyDescent="0.3">
      <c r="A917" s="14" t="s">
        <v>23</v>
      </c>
      <c r="B917" s="15">
        <v>450</v>
      </c>
      <c r="C917" s="15" t="s">
        <v>3</v>
      </c>
      <c r="D917" s="15">
        <v>4</v>
      </c>
      <c r="E917" s="21">
        <v>37.21</v>
      </c>
      <c r="F917" s="15" t="s">
        <v>18</v>
      </c>
      <c r="G917" s="15" t="s">
        <v>16</v>
      </c>
      <c r="H917" s="17">
        <v>46630</v>
      </c>
      <c r="I917" s="15">
        <v>192</v>
      </c>
      <c r="J917" s="18">
        <v>224</v>
      </c>
      <c r="K917" t="str">
        <f t="shared" si="14"/>
        <v>DE450-SDR41</v>
      </c>
      <c r="L917">
        <f>VLOOKUP(K917,'[1]Tarif - Evolution Marché'!$F:$L,7,0)</f>
        <v>37.211305907172992</v>
      </c>
    </row>
    <row r="918" spans="1:12" x14ac:dyDescent="0.3">
      <c r="A918" s="8" t="s">
        <v>23</v>
      </c>
      <c r="B918" s="11">
        <v>500</v>
      </c>
      <c r="C918" s="11" t="s">
        <v>3</v>
      </c>
      <c r="D918" s="11">
        <v>4</v>
      </c>
      <c r="E918" s="21">
        <v>46.39</v>
      </c>
      <c r="F918" s="11" t="s">
        <v>18</v>
      </c>
      <c r="G918" s="11" t="s">
        <v>16</v>
      </c>
      <c r="H918" s="12">
        <v>46630</v>
      </c>
      <c r="I918" s="11">
        <v>192</v>
      </c>
      <c r="J918" s="13">
        <v>224</v>
      </c>
      <c r="K918" t="str">
        <f t="shared" si="14"/>
        <v>DE500-SDR41</v>
      </c>
      <c r="L918">
        <f>VLOOKUP(K918,'[1]Tarif - Evolution Marché'!$F:$L,7,0)</f>
        <v>46.393316455696194</v>
      </c>
    </row>
    <row r="919" spans="1:12" x14ac:dyDescent="0.3">
      <c r="A919" s="14" t="s">
        <v>23</v>
      </c>
      <c r="B919" s="15">
        <v>560</v>
      </c>
      <c r="C919" s="15" t="s">
        <v>3</v>
      </c>
      <c r="D919" s="15">
        <v>4</v>
      </c>
      <c r="E919" s="21">
        <v>57.75</v>
      </c>
      <c r="F919" s="15" t="s">
        <v>18</v>
      </c>
      <c r="G919" s="15" t="s">
        <v>16</v>
      </c>
      <c r="H919" s="17">
        <v>46630</v>
      </c>
      <c r="I919" s="15">
        <v>192</v>
      </c>
      <c r="J919" s="18">
        <v>224</v>
      </c>
      <c r="K919" t="str">
        <f t="shared" si="14"/>
        <v>DE560-SDR41</v>
      </c>
      <c r="L919">
        <f>VLOOKUP(K919,'[1]Tarif - Evolution Marché'!$F:$L,7,0)</f>
        <v>57.750013713080158</v>
      </c>
    </row>
    <row r="920" spans="1:12" x14ac:dyDescent="0.3">
      <c r="A920" s="8" t="s">
        <v>23</v>
      </c>
      <c r="B920" s="11">
        <v>630</v>
      </c>
      <c r="C920" s="11" t="s">
        <v>3</v>
      </c>
      <c r="D920" s="11">
        <v>4</v>
      </c>
      <c r="E920" s="21">
        <v>72.97</v>
      </c>
      <c r="F920" s="11" t="s">
        <v>18</v>
      </c>
      <c r="G920" s="11" t="s">
        <v>16</v>
      </c>
      <c r="H920" s="12">
        <v>46630</v>
      </c>
      <c r="I920" s="11">
        <v>108</v>
      </c>
      <c r="J920" s="13">
        <v>126</v>
      </c>
      <c r="K920" t="str">
        <f t="shared" si="14"/>
        <v>DE630-SDR41</v>
      </c>
      <c r="L920">
        <f>VLOOKUP(K920,'[1]Tarif - Evolution Marché'!$F:$L,7,0)</f>
        <v>72.972820675105467</v>
      </c>
    </row>
    <row r="921" spans="1:12" x14ac:dyDescent="0.3">
      <c r="A921" s="14" t="s">
        <v>23</v>
      </c>
      <c r="B921" s="15">
        <v>710</v>
      </c>
      <c r="C921" s="15" t="s">
        <v>3</v>
      </c>
      <c r="D921" s="15">
        <v>4</v>
      </c>
      <c r="E921" s="21">
        <v>92.79</v>
      </c>
      <c r="F921" s="15" t="s">
        <v>18</v>
      </c>
      <c r="G921" s="15" t="s">
        <v>16</v>
      </c>
      <c r="H921" s="17">
        <v>46630</v>
      </c>
      <c r="I921" s="15">
        <v>108</v>
      </c>
      <c r="J921" s="18">
        <v>126</v>
      </c>
      <c r="K921" t="str">
        <f t="shared" si="14"/>
        <v>DE710-SDR41</v>
      </c>
      <c r="L921">
        <f>VLOOKUP(K921,'[1]Tarif - Evolution Marché'!$F:$L,7,0)</f>
        <v>92.786632911392388</v>
      </c>
    </row>
    <row r="922" spans="1:12" x14ac:dyDescent="0.3">
      <c r="A922" s="8" t="s">
        <v>23</v>
      </c>
      <c r="B922" s="11">
        <v>800</v>
      </c>
      <c r="C922" s="11" t="s">
        <v>3</v>
      </c>
      <c r="D922" s="11">
        <v>4</v>
      </c>
      <c r="E922" s="21">
        <v>117.67</v>
      </c>
      <c r="F922" s="11" t="s">
        <v>18</v>
      </c>
      <c r="G922" s="11" t="s">
        <v>16</v>
      </c>
      <c r="H922" s="12">
        <v>46630</v>
      </c>
      <c r="I922" s="11">
        <v>108</v>
      </c>
      <c r="J922" s="13">
        <v>126</v>
      </c>
      <c r="K922" t="str">
        <f t="shared" si="14"/>
        <v>DE800-SDR41</v>
      </c>
      <c r="L922">
        <f>VLOOKUP(K922,'[1]Tarif - Evolution Marché'!$F:$L,7,0)</f>
        <v>117.67471413502108</v>
      </c>
    </row>
    <row r="923" spans="1:12" x14ac:dyDescent="0.3">
      <c r="A923" s="14" t="s">
        <v>23</v>
      </c>
      <c r="B923" s="15">
        <v>900</v>
      </c>
      <c r="C923" s="15" t="s">
        <v>3</v>
      </c>
      <c r="D923" s="15">
        <v>4</v>
      </c>
      <c r="E923" s="21">
        <v>148.12</v>
      </c>
      <c r="F923" s="15" t="s">
        <v>18</v>
      </c>
      <c r="G923" s="15" t="s">
        <v>16</v>
      </c>
      <c r="H923" s="17">
        <v>46630</v>
      </c>
      <c r="I923" s="15">
        <v>72</v>
      </c>
      <c r="J923" s="18">
        <v>84</v>
      </c>
      <c r="K923" t="str">
        <f t="shared" si="14"/>
        <v>DE900-SDR41</v>
      </c>
      <c r="L923">
        <f>VLOOKUP(K923,'[1]Tarif - Evolution Marché'!$F:$L,7,0)</f>
        <v>148.12032805907171</v>
      </c>
    </row>
    <row r="924" spans="1:12" x14ac:dyDescent="0.3">
      <c r="A924" s="8" t="s">
        <v>23</v>
      </c>
      <c r="B924" s="11">
        <v>1000</v>
      </c>
      <c r="C924" s="11" t="s">
        <v>3</v>
      </c>
      <c r="D924" s="11">
        <v>4</v>
      </c>
      <c r="E924" s="21">
        <v>183.4</v>
      </c>
      <c r="F924" s="11" t="s">
        <v>18</v>
      </c>
      <c r="G924" s="11" t="s">
        <v>16</v>
      </c>
      <c r="H924" s="12">
        <v>46630</v>
      </c>
      <c r="I924" s="11">
        <v>48</v>
      </c>
      <c r="J924" s="13">
        <v>56</v>
      </c>
      <c r="K924" t="str">
        <f t="shared" si="14"/>
        <v>DE1000-SDR41</v>
      </c>
      <c r="L924">
        <f>VLOOKUP(K924,'[1]Tarif - Evolution Marché'!$F:$L,7,0)</f>
        <v>183.39857911392403</v>
      </c>
    </row>
    <row r="925" spans="1:12" x14ac:dyDescent="0.3">
      <c r="A925" s="14" t="s">
        <v>23</v>
      </c>
      <c r="B925" s="15">
        <v>1200</v>
      </c>
      <c r="C925" s="15" t="s">
        <v>3</v>
      </c>
      <c r="D925" s="15">
        <v>4</v>
      </c>
      <c r="E925" s="21">
        <v>263.38</v>
      </c>
      <c r="F925" s="15" t="s">
        <v>18</v>
      </c>
      <c r="G925" s="15" t="s">
        <v>16</v>
      </c>
      <c r="H925" s="17">
        <v>46630</v>
      </c>
      <c r="I925" s="15">
        <v>36</v>
      </c>
      <c r="J925" s="18">
        <v>42</v>
      </c>
      <c r="K925" t="str">
        <f t="shared" si="14"/>
        <v>DE1200-SDR41</v>
      </c>
      <c r="L925">
        <f>VLOOKUP(K925,'[1]Tarif - Evolution Marché'!$F:$L,7,0)</f>
        <v>263.37872362869194</v>
      </c>
    </row>
    <row r="926" spans="1:12" x14ac:dyDescent="0.3">
      <c r="A926" s="8" t="s">
        <v>23</v>
      </c>
      <c r="B926" s="11">
        <v>50</v>
      </c>
      <c r="C926" s="11" t="s">
        <v>4</v>
      </c>
      <c r="D926" s="11">
        <v>5</v>
      </c>
      <c r="E926" s="21">
        <v>0.7</v>
      </c>
      <c r="F926" s="11" t="s">
        <v>18</v>
      </c>
      <c r="G926" s="11" t="s">
        <v>16</v>
      </c>
      <c r="H926" s="12">
        <v>46630</v>
      </c>
      <c r="I926" s="12"/>
      <c r="J926" s="13"/>
      <c r="K926" t="str">
        <f t="shared" si="14"/>
        <v>DE50-SDR33</v>
      </c>
      <c r="L926">
        <f>VLOOKUP(K926,'[1]Tarif - Evolution Marché'!$F:$L,7,0)</f>
        <v>0.7007323839662446</v>
      </c>
    </row>
    <row r="927" spans="1:12" x14ac:dyDescent="0.3">
      <c r="A927" s="14" t="s">
        <v>23</v>
      </c>
      <c r="B927" s="15">
        <v>63</v>
      </c>
      <c r="C927" s="15" t="s">
        <v>4</v>
      </c>
      <c r="D927" s="15">
        <v>5</v>
      </c>
      <c r="E927" s="21">
        <v>0.97</v>
      </c>
      <c r="F927" s="15" t="s">
        <v>18</v>
      </c>
      <c r="G927" s="15" t="s">
        <v>16</v>
      </c>
      <c r="H927" s="17">
        <v>46630</v>
      </c>
      <c r="I927" s="17"/>
      <c r="J927" s="18"/>
      <c r="K927" t="str">
        <f t="shared" si="14"/>
        <v>DE63-SDR33</v>
      </c>
      <c r="L927">
        <f>VLOOKUP(K927,'[1]Tarif - Evolution Marché'!$F:$L,7,0)</f>
        <v>0.97377638185653992</v>
      </c>
    </row>
    <row r="928" spans="1:12" x14ac:dyDescent="0.3">
      <c r="A928" s="8" t="s">
        <v>23</v>
      </c>
      <c r="B928" s="11">
        <v>75</v>
      </c>
      <c r="C928" s="11" t="s">
        <v>4</v>
      </c>
      <c r="D928" s="11">
        <v>5</v>
      </c>
      <c r="E928" s="21">
        <v>1.35</v>
      </c>
      <c r="F928" s="11" t="s">
        <v>18</v>
      </c>
      <c r="G928" s="11" t="s">
        <v>16</v>
      </c>
      <c r="H928" s="12">
        <v>46630</v>
      </c>
      <c r="I928" s="12"/>
      <c r="J928" s="13"/>
      <c r="K928" t="str">
        <f t="shared" si="14"/>
        <v>DE75-SDR33</v>
      </c>
      <c r="L928">
        <f>VLOOKUP(K928,'[1]Tarif - Evolution Marché'!$F:$L,7,0)</f>
        <v>1.34588944092827</v>
      </c>
    </row>
    <row r="929" spans="1:12" x14ac:dyDescent="0.3">
      <c r="A929" s="14" t="s">
        <v>23</v>
      </c>
      <c r="B929" s="15">
        <v>90</v>
      </c>
      <c r="C929" s="15" t="s">
        <v>4</v>
      </c>
      <c r="D929" s="15">
        <v>5</v>
      </c>
      <c r="E929" s="21">
        <v>1.93</v>
      </c>
      <c r="F929" s="15" t="s">
        <v>18</v>
      </c>
      <c r="G929" s="15" t="s">
        <v>16</v>
      </c>
      <c r="H929" s="17">
        <v>46630</v>
      </c>
      <c r="I929" s="17"/>
      <c r="J929" s="18"/>
      <c r="K929" t="str">
        <f t="shared" si="14"/>
        <v>DE90-SDR33</v>
      </c>
      <c r="L929">
        <f>VLOOKUP(K929,'[1]Tarif - Evolution Marché'!$F:$L,7,0)</f>
        <v>1.9330548523206748</v>
      </c>
    </row>
    <row r="930" spans="1:12" x14ac:dyDescent="0.3">
      <c r="A930" s="8" t="s">
        <v>23</v>
      </c>
      <c r="B930" s="11">
        <v>110</v>
      </c>
      <c r="C930" s="11" t="s">
        <v>4</v>
      </c>
      <c r="D930" s="11">
        <v>5</v>
      </c>
      <c r="E930" s="21">
        <v>2.88</v>
      </c>
      <c r="F930" s="11" t="s">
        <v>18</v>
      </c>
      <c r="G930" s="11" t="s">
        <v>16</v>
      </c>
      <c r="H930" s="12">
        <v>46630</v>
      </c>
      <c r="I930" s="12"/>
      <c r="J930" s="13"/>
      <c r="K930" t="str">
        <f t="shared" si="14"/>
        <v>DE110-SDR33</v>
      </c>
      <c r="L930">
        <f>VLOOKUP(K930,'[1]Tarif - Evolution Marché'!$F:$L,7,0)</f>
        <v>2.8754190928270034</v>
      </c>
    </row>
    <row r="931" spans="1:12" x14ac:dyDescent="0.3">
      <c r="A931" s="14" t="s">
        <v>23</v>
      </c>
      <c r="B931" s="15">
        <v>125</v>
      </c>
      <c r="C931" s="15" t="s">
        <v>4</v>
      </c>
      <c r="D931" s="15">
        <v>5</v>
      </c>
      <c r="E931" s="21">
        <v>3.7</v>
      </c>
      <c r="F931" s="15" t="s">
        <v>18</v>
      </c>
      <c r="G931" s="15" t="s">
        <v>16</v>
      </c>
      <c r="H931" s="17">
        <v>46630</v>
      </c>
      <c r="I931" s="15">
        <v>2400</v>
      </c>
      <c r="J931" s="18">
        <v>2800</v>
      </c>
      <c r="K931" t="str">
        <f t="shared" si="14"/>
        <v>DE125-SDR33</v>
      </c>
      <c r="L931">
        <f>VLOOKUP(K931,'[1]Tarif - Evolution Marché'!$F:$L,7,0)</f>
        <v>3.6969674050632904</v>
      </c>
    </row>
    <row r="932" spans="1:12" x14ac:dyDescent="0.3">
      <c r="A932" s="8" t="s">
        <v>23</v>
      </c>
      <c r="B932" s="11">
        <v>140</v>
      </c>
      <c r="C932" s="11" t="s">
        <v>4</v>
      </c>
      <c r="D932" s="11">
        <v>5</v>
      </c>
      <c r="E932" s="21">
        <v>4.59</v>
      </c>
      <c r="F932" s="11" t="s">
        <v>18</v>
      </c>
      <c r="G932" s="11" t="s">
        <v>16</v>
      </c>
      <c r="H932" s="12">
        <v>46630</v>
      </c>
      <c r="I932" s="11">
        <v>1920</v>
      </c>
      <c r="J932" s="13">
        <v>2240</v>
      </c>
      <c r="K932" t="str">
        <f t="shared" si="14"/>
        <v>DE140-SDR33</v>
      </c>
      <c r="L932">
        <f>VLOOKUP(K932,'[1]Tarif - Evolution Marché'!$F:$L,7,0)</f>
        <v>4.5910052742616028</v>
      </c>
    </row>
    <row r="933" spans="1:12" x14ac:dyDescent="0.3">
      <c r="A933" s="14" t="s">
        <v>23</v>
      </c>
      <c r="B933" s="15">
        <v>160</v>
      </c>
      <c r="C933" s="15" t="s">
        <v>4</v>
      </c>
      <c r="D933" s="15">
        <v>5</v>
      </c>
      <c r="E933" s="21">
        <v>5.92</v>
      </c>
      <c r="F933" s="15" t="s">
        <v>18</v>
      </c>
      <c r="G933" s="15" t="s">
        <v>16</v>
      </c>
      <c r="H933" s="17">
        <v>46630</v>
      </c>
      <c r="I933" s="15">
        <v>1920</v>
      </c>
      <c r="J933" s="18">
        <v>2240</v>
      </c>
      <c r="K933" t="str">
        <f t="shared" si="14"/>
        <v>DE160-SDR33</v>
      </c>
      <c r="L933">
        <f>VLOOKUP(K933,'[1]Tarif - Evolution Marché'!$F:$L,7,0)</f>
        <v>5.9199804852320668</v>
      </c>
    </row>
    <row r="934" spans="1:12" x14ac:dyDescent="0.3">
      <c r="A934" s="8" t="s">
        <v>23</v>
      </c>
      <c r="B934" s="11">
        <v>180</v>
      </c>
      <c r="C934" s="11" t="s">
        <v>4</v>
      </c>
      <c r="D934" s="11">
        <v>5</v>
      </c>
      <c r="E934" s="21">
        <v>7.49</v>
      </c>
      <c r="F934" s="11" t="s">
        <v>18</v>
      </c>
      <c r="G934" s="11" t="s">
        <v>16</v>
      </c>
      <c r="H934" s="12">
        <v>46630</v>
      </c>
      <c r="I934" s="11">
        <v>1200</v>
      </c>
      <c r="J934" s="13">
        <v>1400</v>
      </c>
      <c r="K934" t="str">
        <f t="shared" si="14"/>
        <v>DE180-SDR33</v>
      </c>
      <c r="L934">
        <f>VLOOKUP(K934,'[1]Tarif - Evolution Marché'!$F:$L,7,0)</f>
        <v>7.4905875527426149</v>
      </c>
    </row>
    <row r="935" spans="1:12" x14ac:dyDescent="0.3">
      <c r="A935" s="14" t="s">
        <v>23</v>
      </c>
      <c r="B935" s="15">
        <v>200</v>
      </c>
      <c r="C935" s="15" t="s">
        <v>4</v>
      </c>
      <c r="D935" s="15">
        <v>5</v>
      </c>
      <c r="E935" s="21">
        <v>9.3800000000000008</v>
      </c>
      <c r="F935" s="15" t="s">
        <v>18</v>
      </c>
      <c r="G935" s="15" t="s">
        <v>16</v>
      </c>
      <c r="H935" s="17">
        <v>46630</v>
      </c>
      <c r="I935" s="15">
        <v>960</v>
      </c>
      <c r="J935" s="18">
        <v>1120</v>
      </c>
      <c r="K935" t="str">
        <f t="shared" si="14"/>
        <v>DE200-SDR33</v>
      </c>
      <c r="L935">
        <f>VLOOKUP(K935,'[1]Tarif - Evolution Marché'!$F:$L,7,0)</f>
        <v>9.3753160337552721</v>
      </c>
    </row>
    <row r="936" spans="1:12" x14ac:dyDescent="0.3">
      <c r="A936" s="8" t="s">
        <v>23</v>
      </c>
      <c r="B936" s="11">
        <v>225</v>
      </c>
      <c r="C936" s="11" t="s">
        <v>4</v>
      </c>
      <c r="D936" s="11">
        <v>5</v>
      </c>
      <c r="E936" s="21">
        <v>11.65</v>
      </c>
      <c r="F936" s="11" t="s">
        <v>18</v>
      </c>
      <c r="G936" s="11" t="s">
        <v>16</v>
      </c>
      <c r="H936" s="12">
        <v>46630</v>
      </c>
      <c r="I936" s="11">
        <v>960</v>
      </c>
      <c r="J936" s="13">
        <v>1120</v>
      </c>
      <c r="K936" t="str">
        <f t="shared" si="14"/>
        <v>DE225-SDR33</v>
      </c>
      <c r="L936">
        <f>VLOOKUP(K936,'[1]Tarif - Evolution Marché'!$F:$L,7,0)</f>
        <v>11.646655485232067</v>
      </c>
    </row>
    <row r="937" spans="1:12" x14ac:dyDescent="0.3">
      <c r="A937" s="14" t="s">
        <v>23</v>
      </c>
      <c r="B937" s="15">
        <v>250</v>
      </c>
      <c r="C937" s="15" t="s">
        <v>4</v>
      </c>
      <c r="D937" s="15">
        <v>5</v>
      </c>
      <c r="E937" s="21">
        <v>14.45</v>
      </c>
      <c r="F937" s="15" t="s">
        <v>18</v>
      </c>
      <c r="G937" s="15" t="s">
        <v>16</v>
      </c>
      <c r="H937" s="17">
        <v>46630</v>
      </c>
      <c r="I937" s="15">
        <v>672</v>
      </c>
      <c r="J937" s="18">
        <v>784</v>
      </c>
      <c r="K937" t="str">
        <f t="shared" si="14"/>
        <v>DE250-SDR33</v>
      </c>
      <c r="L937">
        <f>VLOOKUP(K937,'[1]Tarif - Evolution Marché'!$F:$L,7,0)</f>
        <v>14.449585021097045</v>
      </c>
    </row>
    <row r="938" spans="1:12" x14ac:dyDescent="0.3">
      <c r="A938" s="8" t="s">
        <v>23</v>
      </c>
      <c r="B938" s="11">
        <v>280</v>
      </c>
      <c r="C938" s="11" t="s">
        <v>4</v>
      </c>
      <c r="D938" s="11">
        <v>5</v>
      </c>
      <c r="E938" s="21">
        <v>18.05</v>
      </c>
      <c r="F938" s="11" t="s">
        <v>18</v>
      </c>
      <c r="G938" s="11" t="s">
        <v>16</v>
      </c>
      <c r="H938" s="12">
        <v>46630</v>
      </c>
      <c r="I938" s="11">
        <v>672</v>
      </c>
      <c r="J938" s="13">
        <v>784</v>
      </c>
      <c r="K938" t="str">
        <f t="shared" si="14"/>
        <v>DE280-SDR33</v>
      </c>
      <c r="L938">
        <f>VLOOKUP(K938,'[1]Tarif - Evolution Marché'!$F:$L,7,0)</f>
        <v>18.0498996835443</v>
      </c>
    </row>
    <row r="939" spans="1:12" x14ac:dyDescent="0.3">
      <c r="A939" s="14" t="s">
        <v>23</v>
      </c>
      <c r="B939" s="15">
        <v>315</v>
      </c>
      <c r="C939" s="15" t="s">
        <v>4</v>
      </c>
      <c r="D939" s="15">
        <v>5</v>
      </c>
      <c r="E939" s="21">
        <v>22.88</v>
      </c>
      <c r="F939" s="15" t="s">
        <v>18</v>
      </c>
      <c r="G939" s="15" t="s">
        <v>16</v>
      </c>
      <c r="H939" s="17">
        <v>46630</v>
      </c>
      <c r="I939" s="15">
        <v>432</v>
      </c>
      <c r="J939" s="18">
        <v>504</v>
      </c>
      <c r="K939" t="str">
        <f t="shared" si="14"/>
        <v>DE315-SDR33</v>
      </c>
      <c r="L939">
        <f>VLOOKUP(K939,'[1]Tarif - Evolution Marché'!$F:$L,7,0)</f>
        <v>22.88253681434599</v>
      </c>
    </row>
    <row r="940" spans="1:12" x14ac:dyDescent="0.3">
      <c r="A940" s="8" t="s">
        <v>23</v>
      </c>
      <c r="B940" s="11">
        <v>355</v>
      </c>
      <c r="C940" s="11" t="s">
        <v>4</v>
      </c>
      <c r="D940" s="11">
        <v>5</v>
      </c>
      <c r="E940" s="21">
        <v>29</v>
      </c>
      <c r="F940" s="11" t="s">
        <v>18</v>
      </c>
      <c r="G940" s="11" t="s">
        <v>16</v>
      </c>
      <c r="H940" s="12">
        <v>46630</v>
      </c>
      <c r="I940" s="11">
        <v>360</v>
      </c>
      <c r="J940" s="13">
        <v>420</v>
      </c>
      <c r="K940" t="str">
        <f t="shared" si="14"/>
        <v>DE355-SDR33</v>
      </c>
      <c r="L940">
        <f>VLOOKUP(K940,'[1]Tarif - Evolution Marché'!$F:$L,7,0)</f>
        <v>28.995822784810123</v>
      </c>
    </row>
    <row r="941" spans="1:12" x14ac:dyDescent="0.3">
      <c r="A941" s="14" t="s">
        <v>23</v>
      </c>
      <c r="B941" s="15">
        <v>400</v>
      </c>
      <c r="C941" s="15" t="s">
        <v>4</v>
      </c>
      <c r="D941" s="15">
        <v>5</v>
      </c>
      <c r="E941" s="21">
        <v>36.729999999999997</v>
      </c>
      <c r="F941" s="15" t="s">
        <v>18</v>
      </c>
      <c r="G941" s="15" t="s">
        <v>16</v>
      </c>
      <c r="H941" s="17">
        <v>46630</v>
      </c>
      <c r="I941" s="15">
        <v>360</v>
      </c>
      <c r="J941" s="18">
        <v>420</v>
      </c>
      <c r="K941" t="str">
        <f t="shared" si="14"/>
        <v>DE400-SDR33</v>
      </c>
      <c r="L941">
        <f>VLOOKUP(K941,'[1]Tarif - Evolution Marché'!$F:$L,7,0)</f>
        <v>36.728042194092822</v>
      </c>
    </row>
    <row r="942" spans="1:12" x14ac:dyDescent="0.3">
      <c r="A942" s="8" t="s">
        <v>23</v>
      </c>
      <c r="B942" s="11">
        <v>450</v>
      </c>
      <c r="C942" s="11" t="s">
        <v>4</v>
      </c>
      <c r="D942" s="11">
        <v>5</v>
      </c>
      <c r="E942" s="21">
        <v>46.39</v>
      </c>
      <c r="F942" s="11" t="s">
        <v>18</v>
      </c>
      <c r="G942" s="11" t="s">
        <v>16</v>
      </c>
      <c r="H942" s="12">
        <v>46630</v>
      </c>
      <c r="I942" s="11">
        <v>192</v>
      </c>
      <c r="J942" s="13">
        <v>224</v>
      </c>
      <c r="K942" t="str">
        <f t="shared" si="14"/>
        <v>DE450-SDR33</v>
      </c>
      <c r="L942">
        <f>VLOOKUP(K942,'[1]Tarif - Evolution Marché'!$F:$L,7,0)</f>
        <v>46.393316455696194</v>
      </c>
    </row>
    <row r="943" spans="1:12" x14ac:dyDescent="0.3">
      <c r="A943" s="14" t="s">
        <v>23</v>
      </c>
      <c r="B943" s="15">
        <v>500</v>
      </c>
      <c r="C943" s="15" t="s">
        <v>4</v>
      </c>
      <c r="D943" s="15">
        <v>5</v>
      </c>
      <c r="E943" s="21">
        <v>57.03</v>
      </c>
      <c r="F943" s="15" t="s">
        <v>18</v>
      </c>
      <c r="G943" s="15" t="s">
        <v>16</v>
      </c>
      <c r="H943" s="17">
        <v>46630</v>
      </c>
      <c r="I943" s="15">
        <v>192</v>
      </c>
      <c r="J943" s="18">
        <v>224</v>
      </c>
      <c r="K943" t="str">
        <f t="shared" si="14"/>
        <v>DE500-SDR33</v>
      </c>
      <c r="L943">
        <f>VLOOKUP(K943,'[1]Tarif - Evolution Marché'!$F:$L,7,0)</f>
        <v>57.025118143459906</v>
      </c>
    </row>
    <row r="944" spans="1:12" x14ac:dyDescent="0.3">
      <c r="A944" s="8" t="s">
        <v>23</v>
      </c>
      <c r="B944" s="11">
        <v>560</v>
      </c>
      <c r="C944" s="11" t="s">
        <v>4</v>
      </c>
      <c r="D944" s="11">
        <v>5</v>
      </c>
      <c r="E944" s="21">
        <v>71.760000000000005</v>
      </c>
      <c r="F944" s="11" t="s">
        <v>18</v>
      </c>
      <c r="G944" s="11" t="s">
        <v>16</v>
      </c>
      <c r="H944" s="12">
        <v>46630</v>
      </c>
      <c r="I944" s="11">
        <v>192</v>
      </c>
      <c r="J944" s="13">
        <v>224</v>
      </c>
      <c r="K944" t="str">
        <f t="shared" si="14"/>
        <v>DE560-SDR33</v>
      </c>
      <c r="L944">
        <f>VLOOKUP(K944,'[1]Tarif - Evolution Marché'!$F:$L,7,0)</f>
        <v>71.764661392405046</v>
      </c>
    </row>
    <row r="945" spans="1:12" x14ac:dyDescent="0.3">
      <c r="A945" s="14" t="s">
        <v>23</v>
      </c>
      <c r="B945" s="15">
        <v>630</v>
      </c>
      <c r="C945" s="15" t="s">
        <v>4</v>
      </c>
      <c r="D945" s="15">
        <v>5</v>
      </c>
      <c r="E945" s="21">
        <v>90.61</v>
      </c>
      <c r="F945" s="15" t="s">
        <v>18</v>
      </c>
      <c r="G945" s="15" t="s">
        <v>16</v>
      </c>
      <c r="H945" s="17">
        <v>46630</v>
      </c>
      <c r="I945" s="15">
        <v>108</v>
      </c>
      <c r="J945" s="18">
        <v>126</v>
      </c>
      <c r="K945" t="str">
        <f t="shared" si="14"/>
        <v>DE630-SDR33</v>
      </c>
      <c r="L945">
        <f>VLOOKUP(K945,'[1]Tarif - Evolution Marché'!$F:$L,7,0)</f>
        <v>90.611946202531627</v>
      </c>
    </row>
    <row r="946" spans="1:12" x14ac:dyDescent="0.3">
      <c r="A946" s="8" t="s">
        <v>23</v>
      </c>
      <c r="B946" s="11">
        <v>710</v>
      </c>
      <c r="C946" s="11" t="s">
        <v>4</v>
      </c>
      <c r="D946" s="11">
        <v>5</v>
      </c>
      <c r="E946" s="21">
        <v>115.26</v>
      </c>
      <c r="F946" s="11" t="s">
        <v>18</v>
      </c>
      <c r="G946" s="11" t="s">
        <v>16</v>
      </c>
      <c r="H946" s="12">
        <v>46630</v>
      </c>
      <c r="I946" s="11">
        <v>108</v>
      </c>
      <c r="J946" s="13">
        <v>126</v>
      </c>
      <c r="K946" t="str">
        <f t="shared" si="14"/>
        <v>DE710-SDR33</v>
      </c>
      <c r="L946">
        <f>VLOOKUP(K946,'[1]Tarif - Evolution Marché'!$F:$L,7,0)</f>
        <v>115.25839556962023</v>
      </c>
    </row>
    <row r="947" spans="1:12" x14ac:dyDescent="0.3">
      <c r="A947" s="14" t="s">
        <v>23</v>
      </c>
      <c r="B947" s="15">
        <v>800</v>
      </c>
      <c r="C947" s="15" t="s">
        <v>4</v>
      </c>
      <c r="D947" s="15">
        <v>5</v>
      </c>
      <c r="E947" s="21">
        <v>145.94999999999999</v>
      </c>
      <c r="F947" s="15" t="s">
        <v>18</v>
      </c>
      <c r="G947" s="15" t="s">
        <v>16</v>
      </c>
      <c r="H947" s="17">
        <v>46630</v>
      </c>
      <c r="I947" s="15">
        <v>108</v>
      </c>
      <c r="J947" s="18">
        <v>126</v>
      </c>
      <c r="K947" t="str">
        <f t="shared" si="14"/>
        <v>DE800-SDR33</v>
      </c>
      <c r="L947">
        <f>VLOOKUP(K947,'[1]Tarif - Evolution Marché'!$F:$L,7,0)</f>
        <v>145.94564135021093</v>
      </c>
    </row>
    <row r="948" spans="1:12" x14ac:dyDescent="0.3">
      <c r="A948" s="8" t="s">
        <v>23</v>
      </c>
      <c r="B948" s="11">
        <v>900</v>
      </c>
      <c r="C948" s="11" t="s">
        <v>4</v>
      </c>
      <c r="D948" s="11">
        <v>5</v>
      </c>
      <c r="E948" s="21">
        <v>184.61</v>
      </c>
      <c r="F948" s="11" t="s">
        <v>18</v>
      </c>
      <c r="G948" s="11" t="s">
        <v>16</v>
      </c>
      <c r="H948" s="12">
        <v>46630</v>
      </c>
      <c r="I948" s="11">
        <v>72</v>
      </c>
      <c r="J948" s="13">
        <v>84</v>
      </c>
      <c r="K948" t="str">
        <f t="shared" si="14"/>
        <v>DE900-SDR33</v>
      </c>
      <c r="L948">
        <f>VLOOKUP(K948,'[1]Tarif - Evolution Marché'!$F:$L,7,0)</f>
        <v>184.60673839662445</v>
      </c>
    </row>
    <row r="949" spans="1:12" x14ac:dyDescent="0.3">
      <c r="A949" s="14" t="s">
        <v>23</v>
      </c>
      <c r="B949" s="15">
        <v>1000</v>
      </c>
      <c r="C949" s="15" t="s">
        <v>4</v>
      </c>
      <c r="D949" s="15">
        <v>5</v>
      </c>
      <c r="E949" s="21">
        <v>227.38</v>
      </c>
      <c r="F949" s="15" t="s">
        <v>18</v>
      </c>
      <c r="G949" s="15" t="s">
        <v>16</v>
      </c>
      <c r="H949" s="17">
        <v>46630</v>
      </c>
      <c r="I949" s="15">
        <v>48</v>
      </c>
      <c r="J949" s="18">
        <v>56</v>
      </c>
      <c r="K949" t="str">
        <f t="shared" si="14"/>
        <v>DE1000-SDR33</v>
      </c>
      <c r="L949">
        <f>VLOOKUP(K949,'[1]Tarif - Evolution Marché'!$F:$L,7,0)</f>
        <v>227.37557700421937</v>
      </c>
    </row>
    <row r="950" spans="1:12" x14ac:dyDescent="0.3">
      <c r="A950" s="8" t="s">
        <v>23</v>
      </c>
      <c r="B950" s="11">
        <v>1200</v>
      </c>
      <c r="C950" s="11" t="s">
        <v>4</v>
      </c>
      <c r="D950" s="11">
        <v>5</v>
      </c>
      <c r="E950" s="21">
        <v>326.2</v>
      </c>
      <c r="F950" s="11" t="s">
        <v>18</v>
      </c>
      <c r="G950" s="11" t="s">
        <v>16</v>
      </c>
      <c r="H950" s="12">
        <v>46630</v>
      </c>
      <c r="I950" s="11">
        <v>36</v>
      </c>
      <c r="J950" s="13">
        <v>42</v>
      </c>
      <c r="K950" t="str">
        <f t="shared" si="14"/>
        <v>DE1200-SDR33</v>
      </c>
      <c r="L950">
        <f>VLOOKUP(K950,'[1]Tarif - Evolution Marché'!$F:$L,7,0)</f>
        <v>326.20300632911386</v>
      </c>
    </row>
    <row r="951" spans="1:12" x14ac:dyDescent="0.3">
      <c r="A951" s="14" t="s">
        <v>23</v>
      </c>
      <c r="B951" s="15">
        <v>40</v>
      </c>
      <c r="C951" s="15" t="s">
        <v>5</v>
      </c>
      <c r="D951" s="15">
        <v>6</v>
      </c>
      <c r="E951" s="21">
        <v>0.55000000000000004</v>
      </c>
      <c r="F951" s="15" t="s">
        <v>18</v>
      </c>
      <c r="G951" s="15" t="s">
        <v>16</v>
      </c>
      <c r="H951" s="17">
        <v>46630</v>
      </c>
      <c r="I951" s="17"/>
      <c r="J951" s="18"/>
      <c r="K951" t="str">
        <f t="shared" si="14"/>
        <v>DE40-SDR26</v>
      </c>
      <c r="L951">
        <f>VLOOKUP(K951,'[1]Tarif - Evolution Marché'!$F:$L,7,0)</f>
        <v>0.55333695147679318</v>
      </c>
    </row>
    <row r="952" spans="1:12" x14ac:dyDescent="0.3">
      <c r="A952" s="8" t="s">
        <v>23</v>
      </c>
      <c r="B952" s="11">
        <v>50</v>
      </c>
      <c r="C952" s="11" t="s">
        <v>5</v>
      </c>
      <c r="D952" s="11">
        <v>6</v>
      </c>
      <c r="E952" s="21">
        <v>0.77</v>
      </c>
      <c r="F952" s="11" t="s">
        <v>18</v>
      </c>
      <c r="G952" s="11" t="s">
        <v>16</v>
      </c>
      <c r="H952" s="12">
        <v>46630</v>
      </c>
      <c r="I952" s="12"/>
      <c r="J952" s="13"/>
      <c r="K952" t="str">
        <f t="shared" si="14"/>
        <v>DE50-SDR26</v>
      </c>
      <c r="L952">
        <f>VLOOKUP(K952,'[1]Tarif - Evolution Marché'!$F:$L,7,0)</f>
        <v>0.76597298523206736</v>
      </c>
    </row>
    <row r="953" spans="1:12" x14ac:dyDescent="0.3">
      <c r="A953" s="14" t="s">
        <v>23</v>
      </c>
      <c r="B953" s="15">
        <v>63</v>
      </c>
      <c r="C953" s="15" t="s">
        <v>5</v>
      </c>
      <c r="D953" s="15">
        <v>6</v>
      </c>
      <c r="E953" s="21">
        <v>1.21</v>
      </c>
      <c r="F953" s="15" t="s">
        <v>18</v>
      </c>
      <c r="G953" s="15" t="s">
        <v>16</v>
      </c>
      <c r="H953" s="17">
        <v>46630</v>
      </c>
      <c r="I953" s="17"/>
      <c r="J953" s="18"/>
      <c r="K953" t="str">
        <f t="shared" si="14"/>
        <v>DE63-SDR26</v>
      </c>
      <c r="L953">
        <f>VLOOKUP(K953,'[1]Tarif - Evolution Marché'!$F:$L,7,0)</f>
        <v>1.2081592827004217</v>
      </c>
    </row>
    <row r="954" spans="1:12" x14ac:dyDescent="0.3">
      <c r="A954" s="8" t="s">
        <v>23</v>
      </c>
      <c r="B954" s="11">
        <v>75</v>
      </c>
      <c r="C954" s="11" t="s">
        <v>5</v>
      </c>
      <c r="D954" s="11">
        <v>6</v>
      </c>
      <c r="E954" s="21">
        <v>1.65</v>
      </c>
      <c r="F954" s="11" t="s">
        <v>18</v>
      </c>
      <c r="G954" s="11" t="s">
        <v>16</v>
      </c>
      <c r="H954" s="12">
        <v>46630</v>
      </c>
      <c r="I954" s="12"/>
      <c r="J954" s="13"/>
      <c r="K954" t="str">
        <f t="shared" si="14"/>
        <v>DE75-SDR26</v>
      </c>
      <c r="L954">
        <f>VLOOKUP(K954,'[1]Tarif - Evolution Marché'!$F:$L,7,0)</f>
        <v>1.6503455801687763</v>
      </c>
    </row>
    <row r="955" spans="1:12" x14ac:dyDescent="0.3">
      <c r="A955" s="14" t="s">
        <v>23</v>
      </c>
      <c r="B955" s="15">
        <v>90</v>
      </c>
      <c r="C955" s="15" t="s">
        <v>5</v>
      </c>
      <c r="D955" s="15">
        <v>6</v>
      </c>
      <c r="E955" s="21">
        <v>2.39</v>
      </c>
      <c r="F955" s="15" t="s">
        <v>18</v>
      </c>
      <c r="G955" s="15" t="s">
        <v>16</v>
      </c>
      <c r="H955" s="17">
        <v>46630</v>
      </c>
      <c r="I955" s="17"/>
      <c r="J955" s="18"/>
      <c r="K955" t="str">
        <f t="shared" si="14"/>
        <v>DE90-SDR26</v>
      </c>
      <c r="L955">
        <f>VLOOKUP(K955,'[1]Tarif - Evolution Marché'!$F:$L,7,0)</f>
        <v>2.3873227426160333</v>
      </c>
    </row>
    <row r="956" spans="1:12" x14ac:dyDescent="0.3">
      <c r="A956" s="8" t="s">
        <v>23</v>
      </c>
      <c r="B956" s="11">
        <v>110</v>
      </c>
      <c r="C956" s="11" t="s">
        <v>5</v>
      </c>
      <c r="D956" s="11">
        <v>6</v>
      </c>
      <c r="E956" s="21">
        <v>3.5</v>
      </c>
      <c r="F956" s="11" t="s">
        <v>18</v>
      </c>
      <c r="G956" s="11" t="s">
        <v>16</v>
      </c>
      <c r="H956" s="12">
        <v>46630</v>
      </c>
      <c r="I956" s="12"/>
      <c r="J956" s="13"/>
      <c r="K956" t="str">
        <f t="shared" si="14"/>
        <v>DE110-SDR26</v>
      </c>
      <c r="L956">
        <f>VLOOKUP(K956,'[1]Tarif - Evolution Marché'!$F:$L,7,0)</f>
        <v>3.5036619198312229</v>
      </c>
    </row>
    <row r="957" spans="1:12" x14ac:dyDescent="0.3">
      <c r="A957" s="14" t="s">
        <v>23</v>
      </c>
      <c r="B957" s="15">
        <v>125</v>
      </c>
      <c r="C957" s="15" t="s">
        <v>5</v>
      </c>
      <c r="D957" s="15">
        <v>6</v>
      </c>
      <c r="E957" s="21">
        <v>4.49</v>
      </c>
      <c r="F957" s="15" t="s">
        <v>18</v>
      </c>
      <c r="G957" s="15" t="s">
        <v>16</v>
      </c>
      <c r="H957" s="17">
        <v>46630</v>
      </c>
      <c r="I957" s="15">
        <v>2400</v>
      </c>
      <c r="J957" s="18">
        <v>2800</v>
      </c>
      <c r="K957" t="str">
        <f t="shared" si="14"/>
        <v>DE125-SDR26</v>
      </c>
      <c r="L957">
        <f>VLOOKUP(K957,'[1]Tarif - Evolution Marché'!$F:$L,7,0)</f>
        <v>4.4943525316455695</v>
      </c>
    </row>
    <row r="958" spans="1:12" x14ac:dyDescent="0.3">
      <c r="A958" s="8" t="s">
        <v>23</v>
      </c>
      <c r="B958" s="11">
        <v>140</v>
      </c>
      <c r="C958" s="11" t="s">
        <v>5</v>
      </c>
      <c r="D958" s="11">
        <v>6</v>
      </c>
      <c r="E958" s="21">
        <v>5.68</v>
      </c>
      <c r="F958" s="11" t="s">
        <v>18</v>
      </c>
      <c r="G958" s="11" t="s">
        <v>16</v>
      </c>
      <c r="H958" s="12">
        <v>46630</v>
      </c>
      <c r="I958" s="11">
        <v>1920</v>
      </c>
      <c r="J958" s="13">
        <v>2240</v>
      </c>
      <c r="K958" t="str">
        <f t="shared" si="14"/>
        <v>DE140-SDR26</v>
      </c>
      <c r="L958">
        <f>VLOOKUP(K958,'[1]Tarif - Evolution Marché'!$F:$L,7,0)</f>
        <v>5.6783486286919826</v>
      </c>
    </row>
    <row r="959" spans="1:12" x14ac:dyDescent="0.3">
      <c r="A959" s="14" t="s">
        <v>23</v>
      </c>
      <c r="B959" s="15">
        <v>160</v>
      </c>
      <c r="C959" s="15" t="s">
        <v>5</v>
      </c>
      <c r="D959" s="15">
        <v>6</v>
      </c>
      <c r="E959" s="21">
        <v>7.44</v>
      </c>
      <c r="F959" s="15" t="s">
        <v>18</v>
      </c>
      <c r="G959" s="15" t="s">
        <v>16</v>
      </c>
      <c r="H959" s="17">
        <v>46630</v>
      </c>
      <c r="I959" s="15">
        <v>1920</v>
      </c>
      <c r="J959" s="18">
        <v>2240</v>
      </c>
      <c r="K959" t="str">
        <f t="shared" si="14"/>
        <v>DE160-SDR26</v>
      </c>
      <c r="L959">
        <f>VLOOKUP(K959,'[1]Tarif - Evolution Marché'!$F:$L,7,0)</f>
        <v>7.4422611814345982</v>
      </c>
    </row>
    <row r="960" spans="1:12" x14ac:dyDescent="0.3">
      <c r="A960" s="8" t="s">
        <v>23</v>
      </c>
      <c r="B960" s="11">
        <v>180</v>
      </c>
      <c r="C960" s="11" t="s">
        <v>5</v>
      </c>
      <c r="D960" s="11">
        <v>6</v>
      </c>
      <c r="E960" s="21">
        <v>9.25</v>
      </c>
      <c r="F960" s="11" t="s">
        <v>18</v>
      </c>
      <c r="G960" s="11" t="s">
        <v>16</v>
      </c>
      <c r="H960" s="12">
        <v>46630</v>
      </c>
      <c r="I960" s="11">
        <v>1200</v>
      </c>
      <c r="J960" s="13">
        <v>1400</v>
      </c>
      <c r="K960" t="str">
        <f t="shared" si="14"/>
        <v>DE180-SDR26</v>
      </c>
      <c r="L960">
        <f>VLOOKUP(K960,'[1]Tarif - Evolution Marché'!$F:$L,7,0)</f>
        <v>9.2545001054852314</v>
      </c>
    </row>
    <row r="961" spans="1:12" x14ac:dyDescent="0.3">
      <c r="A961" s="14" t="s">
        <v>23</v>
      </c>
      <c r="B961" s="15">
        <v>200</v>
      </c>
      <c r="C961" s="15" t="s">
        <v>5</v>
      </c>
      <c r="D961" s="15">
        <v>6</v>
      </c>
      <c r="E961" s="21">
        <v>11.45</v>
      </c>
      <c r="F961" s="15" t="s">
        <v>18</v>
      </c>
      <c r="G961" s="15" t="s">
        <v>16</v>
      </c>
      <c r="H961" s="17">
        <v>46630</v>
      </c>
      <c r="I961" s="15">
        <v>960</v>
      </c>
      <c r="J961" s="18">
        <v>1120</v>
      </c>
      <c r="K961" t="str">
        <f t="shared" si="14"/>
        <v>DE200-SDR26</v>
      </c>
      <c r="L961">
        <f>VLOOKUP(K961,'[1]Tarif - Evolution Marché'!$F:$L,7,0)</f>
        <v>11.453349999999999</v>
      </c>
    </row>
    <row r="962" spans="1:12" x14ac:dyDescent="0.3">
      <c r="A962" s="8" t="s">
        <v>23</v>
      </c>
      <c r="B962" s="11">
        <v>225</v>
      </c>
      <c r="C962" s="11" t="s">
        <v>5</v>
      </c>
      <c r="D962" s="11">
        <v>6</v>
      </c>
      <c r="E962" s="21">
        <v>14.4</v>
      </c>
      <c r="F962" s="11" t="s">
        <v>18</v>
      </c>
      <c r="G962" s="11" t="s">
        <v>16</v>
      </c>
      <c r="H962" s="12">
        <v>46630</v>
      </c>
      <c r="I962" s="11">
        <v>960</v>
      </c>
      <c r="J962" s="13">
        <v>1120</v>
      </c>
      <c r="K962" t="str">
        <f t="shared" si="14"/>
        <v>DE225-SDR26</v>
      </c>
      <c r="L962">
        <f>VLOOKUP(K962,'[1]Tarif - Evolution Marché'!$F:$L,7,0)</f>
        <v>14.401258649789026</v>
      </c>
    </row>
    <row r="963" spans="1:12" x14ac:dyDescent="0.3">
      <c r="A963" s="14" t="s">
        <v>23</v>
      </c>
      <c r="B963" s="15">
        <v>250</v>
      </c>
      <c r="C963" s="15" t="s">
        <v>5</v>
      </c>
      <c r="D963" s="15">
        <v>6</v>
      </c>
      <c r="E963" s="21">
        <v>17.829999999999998</v>
      </c>
      <c r="F963" s="15" t="s">
        <v>18</v>
      </c>
      <c r="G963" s="15" t="s">
        <v>16</v>
      </c>
      <c r="H963" s="17">
        <v>46630</v>
      </c>
      <c r="I963" s="15">
        <v>672</v>
      </c>
      <c r="J963" s="18">
        <v>784</v>
      </c>
      <c r="K963" t="str">
        <f t="shared" ref="K963:K1026" si="15">CONCATENATE("DE",B963,"-",C963)</f>
        <v>DE250-SDR26</v>
      </c>
      <c r="L963">
        <f>VLOOKUP(K963,'[1]Tarif - Evolution Marché'!$F:$L,7,0)</f>
        <v>17.832431012658223</v>
      </c>
    </row>
    <row r="964" spans="1:12" x14ac:dyDescent="0.3">
      <c r="A964" s="8" t="s">
        <v>23</v>
      </c>
      <c r="B964" s="11">
        <v>280</v>
      </c>
      <c r="C964" s="11" t="s">
        <v>5</v>
      </c>
      <c r="D964" s="11">
        <v>6</v>
      </c>
      <c r="E964" s="21">
        <v>22.23</v>
      </c>
      <c r="F964" s="11" t="s">
        <v>18</v>
      </c>
      <c r="G964" s="11" t="s">
        <v>16</v>
      </c>
      <c r="H964" s="12">
        <v>46630</v>
      </c>
      <c r="I964" s="11">
        <v>672</v>
      </c>
      <c r="J964" s="13">
        <v>784</v>
      </c>
      <c r="K964" t="str">
        <f t="shared" si="15"/>
        <v>DE280-SDR26</v>
      </c>
      <c r="L964">
        <f>VLOOKUP(K964,'[1]Tarif - Evolution Marché'!$F:$L,7,0)</f>
        <v>22.230130801687757</v>
      </c>
    </row>
    <row r="965" spans="1:12" x14ac:dyDescent="0.3">
      <c r="A965" s="14" t="s">
        <v>23</v>
      </c>
      <c r="B965" s="15">
        <v>315</v>
      </c>
      <c r="C965" s="15" t="s">
        <v>5</v>
      </c>
      <c r="D965" s="15">
        <v>6</v>
      </c>
      <c r="E965" s="21">
        <v>28.27</v>
      </c>
      <c r="F965" s="15" t="s">
        <v>18</v>
      </c>
      <c r="G965" s="15" t="s">
        <v>16</v>
      </c>
      <c r="H965" s="17">
        <v>46630</v>
      </c>
      <c r="I965" s="15">
        <v>432</v>
      </c>
      <c r="J965" s="18">
        <v>504</v>
      </c>
      <c r="K965" t="str">
        <f t="shared" si="15"/>
        <v>DE315-SDR26</v>
      </c>
      <c r="L965">
        <f>VLOOKUP(K965,'[1]Tarif - Evolution Marché'!$F:$L,7,0)</f>
        <v>28.270927215189868</v>
      </c>
    </row>
    <row r="966" spans="1:12" x14ac:dyDescent="0.3">
      <c r="A966" s="8" t="s">
        <v>23</v>
      </c>
      <c r="B966" s="11">
        <v>355</v>
      </c>
      <c r="C966" s="11" t="s">
        <v>5</v>
      </c>
      <c r="D966" s="11">
        <v>6</v>
      </c>
      <c r="E966" s="21">
        <v>35.76</v>
      </c>
      <c r="F966" s="11" t="s">
        <v>18</v>
      </c>
      <c r="G966" s="11" t="s">
        <v>16</v>
      </c>
      <c r="H966" s="12">
        <v>46630</v>
      </c>
      <c r="I966" s="11">
        <v>360</v>
      </c>
      <c r="J966" s="13">
        <v>420</v>
      </c>
      <c r="K966" t="str">
        <f t="shared" si="15"/>
        <v>DE355-SDR26</v>
      </c>
      <c r="L966">
        <f>VLOOKUP(K966,'[1]Tarif - Evolution Marché'!$F:$L,7,0)</f>
        <v>35.761514767932482</v>
      </c>
    </row>
    <row r="967" spans="1:12" x14ac:dyDescent="0.3">
      <c r="A967" s="14" t="s">
        <v>23</v>
      </c>
      <c r="B967" s="15">
        <v>400</v>
      </c>
      <c r="C967" s="15" t="s">
        <v>5</v>
      </c>
      <c r="D967" s="15">
        <v>6</v>
      </c>
      <c r="E967" s="21">
        <v>45.43</v>
      </c>
      <c r="F967" s="15" t="s">
        <v>18</v>
      </c>
      <c r="G967" s="15" t="s">
        <v>16</v>
      </c>
      <c r="H967" s="17">
        <v>46630</v>
      </c>
      <c r="I967" s="15">
        <v>360</v>
      </c>
      <c r="J967" s="18">
        <v>420</v>
      </c>
      <c r="K967" t="str">
        <f t="shared" si="15"/>
        <v>DE400-SDR26</v>
      </c>
      <c r="L967">
        <f>VLOOKUP(K967,'[1]Tarif - Evolution Marché'!$F:$L,7,0)</f>
        <v>45.426789029535861</v>
      </c>
    </row>
    <row r="968" spans="1:12" x14ac:dyDescent="0.3">
      <c r="A968" s="8" t="s">
        <v>23</v>
      </c>
      <c r="B968" s="11">
        <v>450</v>
      </c>
      <c r="C968" s="11" t="s">
        <v>5</v>
      </c>
      <c r="D968" s="11">
        <v>6</v>
      </c>
      <c r="E968" s="21">
        <v>57.27</v>
      </c>
      <c r="F968" s="11" t="s">
        <v>18</v>
      </c>
      <c r="G968" s="11" t="s">
        <v>16</v>
      </c>
      <c r="H968" s="12">
        <v>46630</v>
      </c>
      <c r="I968" s="11">
        <v>192</v>
      </c>
      <c r="J968" s="13">
        <v>224</v>
      </c>
      <c r="K968" t="str">
        <f t="shared" si="15"/>
        <v>DE450-SDR26</v>
      </c>
      <c r="L968">
        <f>VLOOKUP(K968,'[1]Tarif - Evolution Marché'!$F:$L,7,0)</f>
        <v>57.266749999999988</v>
      </c>
    </row>
    <row r="969" spans="1:12" x14ac:dyDescent="0.3">
      <c r="A969" s="14" t="s">
        <v>23</v>
      </c>
      <c r="B969" s="15">
        <v>500</v>
      </c>
      <c r="C969" s="15" t="s">
        <v>5</v>
      </c>
      <c r="D969" s="15">
        <v>6</v>
      </c>
      <c r="E969" s="21">
        <v>70.56</v>
      </c>
      <c r="F969" s="15" t="s">
        <v>18</v>
      </c>
      <c r="G969" s="15" t="s">
        <v>16</v>
      </c>
      <c r="H969" s="17">
        <v>46630</v>
      </c>
      <c r="I969" s="15">
        <v>192</v>
      </c>
      <c r="J969" s="18">
        <v>224</v>
      </c>
      <c r="K969" t="str">
        <f t="shared" si="15"/>
        <v>DE500-SDR26</v>
      </c>
      <c r="L969">
        <f>VLOOKUP(K969,'[1]Tarif - Evolution Marché'!$F:$L,7,0)</f>
        <v>70.556502109704624</v>
      </c>
    </row>
    <row r="970" spans="1:12" x14ac:dyDescent="0.3">
      <c r="A970" s="8" t="s">
        <v>23</v>
      </c>
      <c r="B970" s="11">
        <v>560</v>
      </c>
      <c r="C970" s="11" t="s">
        <v>5</v>
      </c>
      <c r="D970" s="11">
        <v>6</v>
      </c>
      <c r="E970" s="21">
        <v>88.44</v>
      </c>
      <c r="F970" s="11" t="s">
        <v>18</v>
      </c>
      <c r="G970" s="11" t="s">
        <v>16</v>
      </c>
      <c r="H970" s="12">
        <v>46630</v>
      </c>
      <c r="I970" s="11">
        <v>192</v>
      </c>
      <c r="J970" s="13">
        <v>224</v>
      </c>
      <c r="K970" t="str">
        <f t="shared" si="15"/>
        <v>DE560-SDR26</v>
      </c>
      <c r="L970">
        <f>VLOOKUP(K970,'[1]Tarif - Evolution Marché'!$F:$L,7,0)</f>
        <v>88.437259493670879</v>
      </c>
    </row>
    <row r="971" spans="1:12" x14ac:dyDescent="0.3">
      <c r="A971" s="14" t="s">
        <v>23</v>
      </c>
      <c r="B971" s="15">
        <v>630</v>
      </c>
      <c r="C971" s="15" t="s">
        <v>5</v>
      </c>
      <c r="D971" s="15">
        <v>6</v>
      </c>
      <c r="E971" s="21">
        <v>112.12</v>
      </c>
      <c r="F971" s="15" t="s">
        <v>18</v>
      </c>
      <c r="G971" s="15" t="s">
        <v>16</v>
      </c>
      <c r="H971" s="17">
        <v>46630</v>
      </c>
      <c r="I971" s="15">
        <v>108</v>
      </c>
      <c r="J971" s="18">
        <v>126</v>
      </c>
      <c r="K971" t="str">
        <f t="shared" si="15"/>
        <v>DE630-SDR26</v>
      </c>
      <c r="L971">
        <f>VLOOKUP(K971,'[1]Tarif - Evolution Marché'!$F:$L,7,0)</f>
        <v>112.11718143459913</v>
      </c>
    </row>
    <row r="972" spans="1:12" x14ac:dyDescent="0.3">
      <c r="A972" s="8" t="s">
        <v>23</v>
      </c>
      <c r="B972" s="11">
        <v>710</v>
      </c>
      <c r="C972" s="11" t="s">
        <v>5</v>
      </c>
      <c r="D972" s="11">
        <v>6</v>
      </c>
      <c r="E972" s="21">
        <v>142.56</v>
      </c>
      <c r="F972" s="11" t="s">
        <v>18</v>
      </c>
      <c r="G972" s="11" t="s">
        <v>16</v>
      </c>
      <c r="H972" s="12">
        <v>46630</v>
      </c>
      <c r="I972" s="11">
        <v>108</v>
      </c>
      <c r="J972" s="13">
        <v>126</v>
      </c>
      <c r="K972" t="str">
        <f t="shared" si="15"/>
        <v>DE710-SDR26</v>
      </c>
      <c r="L972">
        <f>VLOOKUP(K972,'[1]Tarif - Evolution Marché'!$F:$L,7,0)</f>
        <v>142.56279535864977</v>
      </c>
    </row>
    <row r="973" spans="1:12" x14ac:dyDescent="0.3">
      <c r="A973" s="14" t="s">
        <v>23</v>
      </c>
      <c r="B973" s="15">
        <v>800</v>
      </c>
      <c r="C973" s="15" t="s">
        <v>5</v>
      </c>
      <c r="D973" s="15">
        <v>6</v>
      </c>
      <c r="E973" s="21">
        <v>180.5</v>
      </c>
      <c r="F973" s="15" t="s">
        <v>18</v>
      </c>
      <c r="G973" s="15" t="s">
        <v>16</v>
      </c>
      <c r="H973" s="17">
        <v>46630</v>
      </c>
      <c r="I973" s="15">
        <v>108</v>
      </c>
      <c r="J973" s="18">
        <v>126</v>
      </c>
      <c r="K973" t="str">
        <f t="shared" si="15"/>
        <v>DE800-SDR26</v>
      </c>
      <c r="L973">
        <f>VLOOKUP(K973,'[1]Tarif - Evolution Marché'!$F:$L,7,0)</f>
        <v>180.49899683544302</v>
      </c>
    </row>
    <row r="974" spans="1:12" x14ac:dyDescent="0.3">
      <c r="A974" s="8" t="s">
        <v>23</v>
      </c>
      <c r="B974" s="11">
        <v>900</v>
      </c>
      <c r="C974" s="11" t="s">
        <v>5</v>
      </c>
      <c r="D974" s="11">
        <v>6</v>
      </c>
      <c r="E974" s="21">
        <v>228.1</v>
      </c>
      <c r="F974" s="11" t="s">
        <v>18</v>
      </c>
      <c r="G974" s="11" t="s">
        <v>16</v>
      </c>
      <c r="H974" s="12">
        <v>46630</v>
      </c>
      <c r="I974" s="11">
        <v>72</v>
      </c>
      <c r="J974" s="13">
        <v>84</v>
      </c>
      <c r="K974" t="str">
        <f t="shared" si="15"/>
        <v>DE900-SDR26</v>
      </c>
      <c r="L974">
        <f>VLOOKUP(K974,'[1]Tarif - Evolution Marché'!$F:$L,7,0)</f>
        <v>228.10047257383962</v>
      </c>
    </row>
    <row r="975" spans="1:12" x14ac:dyDescent="0.3">
      <c r="A975" s="14" t="s">
        <v>23</v>
      </c>
      <c r="B975" s="15">
        <v>1000</v>
      </c>
      <c r="C975" s="15" t="s">
        <v>5</v>
      </c>
      <c r="D975" s="15">
        <v>6</v>
      </c>
      <c r="E975" s="21">
        <v>282.70999999999998</v>
      </c>
      <c r="F975" s="15" t="s">
        <v>18</v>
      </c>
      <c r="G975" s="15" t="s">
        <v>16</v>
      </c>
      <c r="H975" s="17">
        <v>46630</v>
      </c>
      <c r="I975" s="15">
        <v>48</v>
      </c>
      <c r="J975" s="18">
        <v>56</v>
      </c>
      <c r="K975" t="str">
        <f t="shared" si="15"/>
        <v>DE1000-SDR26</v>
      </c>
      <c r="L975">
        <f>VLOOKUP(K975,'[1]Tarif - Evolution Marché'!$F:$L,7,0)</f>
        <v>282.70927215189869</v>
      </c>
    </row>
    <row r="976" spans="1:12" x14ac:dyDescent="0.3">
      <c r="A976" s="8" t="s">
        <v>23</v>
      </c>
      <c r="B976" s="11">
        <v>1200</v>
      </c>
      <c r="C976" s="11" t="s">
        <v>5</v>
      </c>
      <c r="D976" s="11">
        <v>6</v>
      </c>
      <c r="E976" s="21">
        <v>405.94</v>
      </c>
      <c r="F976" s="11" t="s">
        <v>18</v>
      </c>
      <c r="G976" s="11" t="s">
        <v>16</v>
      </c>
      <c r="H976" s="12">
        <v>46630</v>
      </c>
      <c r="I976" s="11">
        <v>36</v>
      </c>
      <c r="J976" s="13">
        <v>42</v>
      </c>
      <c r="K976" t="str">
        <f t="shared" si="15"/>
        <v>DE1200-SDR26</v>
      </c>
      <c r="L976">
        <f>VLOOKUP(K976,'[1]Tarif - Evolution Marché'!$F:$L,7,0)</f>
        <v>405.94151898734168</v>
      </c>
    </row>
    <row r="977" spans="1:12" x14ac:dyDescent="0.3">
      <c r="A977" s="14" t="s">
        <v>23</v>
      </c>
      <c r="B977" s="15">
        <v>40</v>
      </c>
      <c r="C977" s="15" t="s">
        <v>6</v>
      </c>
      <c r="D977" s="15">
        <v>8</v>
      </c>
      <c r="E977" s="21">
        <v>0.61</v>
      </c>
      <c r="F977" s="15" t="s">
        <v>18</v>
      </c>
      <c r="G977" s="15" t="s">
        <v>16</v>
      </c>
      <c r="H977" s="17">
        <v>46630</v>
      </c>
      <c r="I977" s="17"/>
      <c r="J977" s="18"/>
      <c r="K977" t="str">
        <f t="shared" si="15"/>
        <v>DE40-SDR21</v>
      </c>
      <c r="L977">
        <f>VLOOKUP(K977,'[1]Tarif - Evolution Marché'!$F:$L,7,0)</f>
        <v>0.60649595991561167</v>
      </c>
    </row>
    <row r="978" spans="1:12" x14ac:dyDescent="0.3">
      <c r="A978" s="8" t="s">
        <v>23</v>
      </c>
      <c r="B978" s="11">
        <v>50</v>
      </c>
      <c r="C978" s="11" t="s">
        <v>6</v>
      </c>
      <c r="D978" s="11">
        <v>8</v>
      </c>
      <c r="E978" s="21">
        <v>0.91</v>
      </c>
      <c r="F978" s="11" t="s">
        <v>18</v>
      </c>
      <c r="G978" s="11" t="s">
        <v>16</v>
      </c>
      <c r="H978" s="12">
        <v>46630</v>
      </c>
      <c r="I978" s="12"/>
      <c r="J978" s="13"/>
      <c r="K978" t="str">
        <f t="shared" si="15"/>
        <v>DE50-SDR21</v>
      </c>
      <c r="L978">
        <f>VLOOKUP(K978,'[1]Tarif - Evolution Marché'!$F:$L,7,0)</f>
        <v>0.91336841772151878</v>
      </c>
    </row>
    <row r="979" spans="1:12" x14ac:dyDescent="0.3">
      <c r="A979" s="14" t="s">
        <v>23</v>
      </c>
      <c r="B979" s="15">
        <v>63</v>
      </c>
      <c r="C979" s="15" t="s">
        <v>6</v>
      </c>
      <c r="D979" s="15">
        <v>8</v>
      </c>
      <c r="E979" s="21">
        <v>1.42</v>
      </c>
      <c r="F979" s="15" t="s">
        <v>18</v>
      </c>
      <c r="G979" s="15" t="s">
        <v>16</v>
      </c>
      <c r="H979" s="17">
        <v>46630</v>
      </c>
      <c r="I979" s="17"/>
      <c r="J979" s="18"/>
      <c r="K979" t="str">
        <f t="shared" si="15"/>
        <v>DE63-SDR21</v>
      </c>
      <c r="L979">
        <f>VLOOKUP(K979,'[1]Tarif - Evolution Marché'!$F:$L,7,0)</f>
        <v>1.4159626793248943</v>
      </c>
    </row>
    <row r="980" spans="1:12" x14ac:dyDescent="0.3">
      <c r="A980" s="8" t="s">
        <v>23</v>
      </c>
      <c r="B980" s="11">
        <v>75</v>
      </c>
      <c r="C980" s="11" t="s">
        <v>6</v>
      </c>
      <c r="D980" s="11">
        <v>8</v>
      </c>
      <c r="E980" s="21">
        <v>2.02</v>
      </c>
      <c r="F980" s="11" t="s">
        <v>18</v>
      </c>
      <c r="G980" s="11" t="s">
        <v>16</v>
      </c>
      <c r="H980" s="12">
        <v>46630</v>
      </c>
      <c r="I980" s="12"/>
      <c r="J980" s="13"/>
      <c r="K980" t="str">
        <f t="shared" si="15"/>
        <v>DE75-SDR21</v>
      </c>
      <c r="L980">
        <f>VLOOKUP(K980,'[1]Tarif - Evolution Marché'!$F:$L,7,0)</f>
        <v>2.0200423206751053</v>
      </c>
    </row>
    <row r="981" spans="1:12" x14ac:dyDescent="0.3">
      <c r="A981" s="14" t="s">
        <v>23</v>
      </c>
      <c r="B981" s="15">
        <v>90</v>
      </c>
      <c r="C981" s="15" t="s">
        <v>6</v>
      </c>
      <c r="D981" s="15">
        <v>8</v>
      </c>
      <c r="E981" s="21">
        <v>2.9</v>
      </c>
      <c r="F981" s="15" t="s">
        <v>18</v>
      </c>
      <c r="G981" s="15" t="s">
        <v>16</v>
      </c>
      <c r="H981" s="17">
        <v>46630</v>
      </c>
      <c r="I981" s="17"/>
      <c r="J981" s="18"/>
      <c r="K981" t="str">
        <f t="shared" si="15"/>
        <v>DE90-SDR21</v>
      </c>
      <c r="L981">
        <f>VLOOKUP(K981,'[1]Tarif - Evolution Marché'!$F:$L,7,0)</f>
        <v>2.8995822784810121</v>
      </c>
    </row>
    <row r="982" spans="1:12" x14ac:dyDescent="0.3">
      <c r="A982" s="8" t="s">
        <v>23</v>
      </c>
      <c r="B982" s="11">
        <v>110</v>
      </c>
      <c r="C982" s="11" t="s">
        <v>6</v>
      </c>
      <c r="D982" s="11">
        <v>8</v>
      </c>
      <c r="E982" s="21">
        <v>4.33</v>
      </c>
      <c r="F982" s="11" t="s">
        <v>18</v>
      </c>
      <c r="G982" s="11" t="s">
        <v>16</v>
      </c>
      <c r="H982" s="12">
        <v>46630</v>
      </c>
      <c r="I982" s="12"/>
      <c r="J982" s="13"/>
      <c r="K982" t="str">
        <f t="shared" si="15"/>
        <v>DE110-SDR21</v>
      </c>
      <c r="L982">
        <f>VLOOKUP(K982,'[1]Tarif - Evolution Marché'!$F:$L,7,0)</f>
        <v>4.3252102320675094</v>
      </c>
    </row>
    <row r="983" spans="1:12" x14ac:dyDescent="0.3">
      <c r="A983" s="14" t="s">
        <v>23</v>
      </c>
      <c r="B983" s="15">
        <v>125</v>
      </c>
      <c r="C983" s="15" t="s">
        <v>6</v>
      </c>
      <c r="D983" s="15">
        <v>8</v>
      </c>
      <c r="E983" s="21">
        <v>5.53</v>
      </c>
      <c r="F983" s="15" t="s">
        <v>18</v>
      </c>
      <c r="G983" s="15" t="s">
        <v>16</v>
      </c>
      <c r="H983" s="17">
        <v>46630</v>
      </c>
      <c r="I983" s="15">
        <v>2400</v>
      </c>
      <c r="J983" s="18">
        <v>2800</v>
      </c>
      <c r="K983" t="str">
        <f t="shared" si="15"/>
        <v>DE125-SDR21</v>
      </c>
      <c r="L983">
        <f>VLOOKUP(K983,'[1]Tarif - Evolution Marché'!$F:$L,7,0)</f>
        <v>5.5333695147679318</v>
      </c>
    </row>
    <row r="984" spans="1:12" x14ac:dyDescent="0.3">
      <c r="A984" s="8" t="s">
        <v>23</v>
      </c>
      <c r="B984" s="11">
        <v>140</v>
      </c>
      <c r="C984" s="11" t="s">
        <v>6</v>
      </c>
      <c r="D984" s="11">
        <v>8</v>
      </c>
      <c r="E984" s="21">
        <v>6.91</v>
      </c>
      <c r="F984" s="11" t="s">
        <v>18</v>
      </c>
      <c r="G984" s="11" t="s">
        <v>16</v>
      </c>
      <c r="H984" s="12">
        <v>46630</v>
      </c>
      <c r="I984" s="11">
        <v>1920</v>
      </c>
      <c r="J984" s="13">
        <v>2240</v>
      </c>
      <c r="K984" t="str">
        <f t="shared" si="15"/>
        <v>DE140-SDR21</v>
      </c>
      <c r="L984">
        <f>VLOOKUP(K984,'[1]Tarif - Evolution Marché'!$F:$L,7,0)</f>
        <v>6.9106710970464116</v>
      </c>
    </row>
    <row r="985" spans="1:12" x14ac:dyDescent="0.3">
      <c r="A985" s="14" t="s">
        <v>23</v>
      </c>
      <c r="B985" s="15">
        <v>160</v>
      </c>
      <c r="C985" s="15" t="s">
        <v>6</v>
      </c>
      <c r="D985" s="15">
        <v>8</v>
      </c>
      <c r="E985" s="21">
        <v>9.06</v>
      </c>
      <c r="F985" s="15" t="s">
        <v>18</v>
      </c>
      <c r="G985" s="15" t="s">
        <v>16</v>
      </c>
      <c r="H985" s="17">
        <v>46630</v>
      </c>
      <c r="I985" s="15">
        <v>1920</v>
      </c>
      <c r="J985" s="18">
        <v>2240</v>
      </c>
      <c r="K985" t="str">
        <f t="shared" si="15"/>
        <v>DE160-SDR21</v>
      </c>
      <c r="L985">
        <f>VLOOKUP(K985,'[1]Tarif - Evolution Marché'!$F:$L,7,0)</f>
        <v>9.061194620253163</v>
      </c>
    </row>
    <row r="986" spans="1:12" x14ac:dyDescent="0.3">
      <c r="A986" s="8" t="s">
        <v>23</v>
      </c>
      <c r="B986" s="11">
        <v>180</v>
      </c>
      <c r="C986" s="11" t="s">
        <v>6</v>
      </c>
      <c r="D986" s="11">
        <v>8</v>
      </c>
      <c r="E986" s="21">
        <v>11.38</v>
      </c>
      <c r="F986" s="11" t="s">
        <v>18</v>
      </c>
      <c r="G986" s="11" t="s">
        <v>16</v>
      </c>
      <c r="H986" s="12">
        <v>46630</v>
      </c>
      <c r="I986" s="11">
        <v>1200</v>
      </c>
      <c r="J986" s="13">
        <v>1400</v>
      </c>
      <c r="K986" t="str">
        <f t="shared" si="15"/>
        <v>DE180-SDR21</v>
      </c>
      <c r="L986">
        <f>VLOOKUP(K986,'[1]Tarif - Evolution Marché'!$F:$L,7,0)</f>
        <v>11.380860443037973</v>
      </c>
    </row>
    <row r="987" spans="1:12" x14ac:dyDescent="0.3">
      <c r="A987" s="14" t="s">
        <v>23</v>
      </c>
      <c r="B987" s="15">
        <v>200</v>
      </c>
      <c r="C987" s="15" t="s">
        <v>6</v>
      </c>
      <c r="D987" s="15">
        <v>8</v>
      </c>
      <c r="E987" s="21">
        <v>14.11</v>
      </c>
      <c r="F987" s="15" t="s">
        <v>18</v>
      </c>
      <c r="G987" s="15" t="s">
        <v>16</v>
      </c>
      <c r="H987" s="17">
        <v>46630</v>
      </c>
      <c r="I987" s="15">
        <v>960</v>
      </c>
      <c r="J987" s="18">
        <v>1120</v>
      </c>
      <c r="K987" t="str">
        <f t="shared" si="15"/>
        <v>DE200-SDR21</v>
      </c>
      <c r="L987">
        <f>VLOOKUP(K987,'[1]Tarif - Evolution Marché'!$F:$L,7,0)</f>
        <v>14.111300421940925</v>
      </c>
    </row>
    <row r="988" spans="1:12" x14ac:dyDescent="0.3">
      <c r="A988" s="8" t="s">
        <v>23</v>
      </c>
      <c r="B988" s="11">
        <v>225</v>
      </c>
      <c r="C988" s="11" t="s">
        <v>6</v>
      </c>
      <c r="D988" s="11">
        <v>8</v>
      </c>
      <c r="E988" s="21">
        <v>17.809999999999999</v>
      </c>
      <c r="F988" s="11" t="s">
        <v>18</v>
      </c>
      <c r="G988" s="11" t="s">
        <v>16</v>
      </c>
      <c r="H988" s="12">
        <v>46630</v>
      </c>
      <c r="I988" s="11">
        <v>960</v>
      </c>
      <c r="J988" s="13">
        <v>1120</v>
      </c>
      <c r="K988" t="str">
        <f t="shared" si="15"/>
        <v>DE225-SDR21</v>
      </c>
      <c r="L988">
        <f>VLOOKUP(K988,'[1]Tarif - Evolution Marché'!$F:$L,7,0)</f>
        <v>17.808267827004215</v>
      </c>
    </row>
    <row r="989" spans="1:12" x14ac:dyDescent="0.3">
      <c r="A989" s="14" t="s">
        <v>23</v>
      </c>
      <c r="B989" s="15">
        <v>250</v>
      </c>
      <c r="C989" s="15" t="s">
        <v>6</v>
      </c>
      <c r="D989" s="15">
        <v>8</v>
      </c>
      <c r="E989" s="21">
        <v>21.8</v>
      </c>
      <c r="F989" s="15" t="s">
        <v>18</v>
      </c>
      <c r="G989" s="15" t="s">
        <v>16</v>
      </c>
      <c r="H989" s="17">
        <v>46630</v>
      </c>
      <c r="I989" s="15">
        <v>672</v>
      </c>
      <c r="J989" s="18">
        <v>784</v>
      </c>
      <c r="K989" t="str">
        <f t="shared" si="15"/>
        <v>DE250-SDR21</v>
      </c>
      <c r="L989">
        <f>VLOOKUP(K989,'[1]Tarif - Evolution Marché'!$F:$L,7,0)</f>
        <v>21.795193459915605</v>
      </c>
    </row>
    <row r="990" spans="1:12" x14ac:dyDescent="0.3">
      <c r="A990" s="8" t="s">
        <v>23</v>
      </c>
      <c r="B990" s="11">
        <v>280</v>
      </c>
      <c r="C990" s="11" t="s">
        <v>6</v>
      </c>
      <c r="D990" s="11">
        <v>8</v>
      </c>
      <c r="E990" s="21">
        <v>27.55</v>
      </c>
      <c r="F990" s="11" t="s">
        <v>18</v>
      </c>
      <c r="G990" s="11" t="s">
        <v>16</v>
      </c>
      <c r="H990" s="12">
        <v>46630</v>
      </c>
      <c r="I990" s="11">
        <v>672</v>
      </c>
      <c r="J990" s="13">
        <v>784</v>
      </c>
      <c r="K990" t="str">
        <f t="shared" si="15"/>
        <v>DE280-SDR21</v>
      </c>
      <c r="L990">
        <f>VLOOKUP(K990,'[1]Tarif - Evolution Marché'!$F:$L,7,0)</f>
        <v>27.546031645569617</v>
      </c>
    </row>
    <row r="991" spans="1:12" x14ac:dyDescent="0.3">
      <c r="A991" s="14" t="s">
        <v>23</v>
      </c>
      <c r="B991" s="15">
        <v>315</v>
      </c>
      <c r="C991" s="15" t="s">
        <v>6</v>
      </c>
      <c r="D991" s="15">
        <v>8</v>
      </c>
      <c r="E991" s="21">
        <v>34.549999999999997</v>
      </c>
      <c r="F991" s="15" t="s">
        <v>18</v>
      </c>
      <c r="G991" s="15" t="s">
        <v>16</v>
      </c>
      <c r="H991" s="17">
        <v>46630</v>
      </c>
      <c r="I991" s="15">
        <v>432</v>
      </c>
      <c r="J991" s="18">
        <v>504</v>
      </c>
      <c r="K991" t="str">
        <f t="shared" si="15"/>
        <v>DE315-SDR21</v>
      </c>
      <c r="L991">
        <f>VLOOKUP(K991,'[1]Tarif - Evolution Marché'!$F:$L,7,0)</f>
        <v>34.553355485232061</v>
      </c>
    </row>
    <row r="992" spans="1:12" x14ac:dyDescent="0.3">
      <c r="A992" s="8" t="s">
        <v>23</v>
      </c>
      <c r="B992" s="11">
        <v>355</v>
      </c>
      <c r="C992" s="11" t="s">
        <v>6</v>
      </c>
      <c r="D992" s="11">
        <v>8</v>
      </c>
      <c r="E992" s="21">
        <v>43.98</v>
      </c>
      <c r="F992" s="11" t="s">
        <v>18</v>
      </c>
      <c r="G992" s="11" t="s">
        <v>16</v>
      </c>
      <c r="H992" s="12">
        <v>46630</v>
      </c>
      <c r="I992" s="11">
        <v>360</v>
      </c>
      <c r="J992" s="13">
        <v>420</v>
      </c>
      <c r="K992" t="str">
        <f t="shared" si="15"/>
        <v>DE355-SDR21</v>
      </c>
      <c r="L992">
        <f>VLOOKUP(K992,'[1]Tarif - Evolution Marché'!$F:$L,7,0)</f>
        <v>43.976997890295351</v>
      </c>
    </row>
    <row r="993" spans="1:12" x14ac:dyDescent="0.3">
      <c r="A993" s="14" t="s">
        <v>23</v>
      </c>
      <c r="B993" s="15">
        <v>400</v>
      </c>
      <c r="C993" s="15" t="s">
        <v>6</v>
      </c>
      <c r="D993" s="15">
        <v>8</v>
      </c>
      <c r="E993" s="21">
        <v>55.82</v>
      </c>
      <c r="F993" s="15" t="s">
        <v>18</v>
      </c>
      <c r="G993" s="15" t="s">
        <v>16</v>
      </c>
      <c r="H993" s="17">
        <v>46630</v>
      </c>
      <c r="I993" s="15">
        <v>360</v>
      </c>
      <c r="J993" s="18">
        <v>420</v>
      </c>
      <c r="K993" t="str">
        <f t="shared" si="15"/>
        <v>DE400-SDR21</v>
      </c>
      <c r="L993">
        <f>VLOOKUP(K993,'[1]Tarif - Evolution Marché'!$F:$L,7,0)</f>
        <v>55.816958860759485</v>
      </c>
    </row>
    <row r="994" spans="1:12" x14ac:dyDescent="0.3">
      <c r="A994" s="8" t="s">
        <v>23</v>
      </c>
      <c r="B994" s="11">
        <v>450</v>
      </c>
      <c r="C994" s="11" t="s">
        <v>6</v>
      </c>
      <c r="D994" s="11">
        <v>8</v>
      </c>
      <c r="E994" s="21">
        <v>70.8</v>
      </c>
      <c r="F994" s="11" t="s">
        <v>18</v>
      </c>
      <c r="G994" s="11" t="s">
        <v>16</v>
      </c>
      <c r="H994" s="12">
        <v>46630</v>
      </c>
      <c r="I994" s="11">
        <v>192</v>
      </c>
      <c r="J994" s="13">
        <v>224</v>
      </c>
      <c r="K994" t="str">
        <f t="shared" si="15"/>
        <v>DE450-SDR21</v>
      </c>
      <c r="L994">
        <f>VLOOKUP(K994,'[1]Tarif - Evolution Marché'!$F:$L,7,0)</f>
        <v>70.79813396624472</v>
      </c>
    </row>
    <row r="995" spans="1:12" x14ac:dyDescent="0.3">
      <c r="A995" s="14" t="s">
        <v>23</v>
      </c>
      <c r="B995" s="15">
        <v>500</v>
      </c>
      <c r="C995" s="15" t="s">
        <v>6</v>
      </c>
      <c r="D995" s="15">
        <v>8</v>
      </c>
      <c r="E995" s="21">
        <v>87.23</v>
      </c>
      <c r="F995" s="15" t="s">
        <v>18</v>
      </c>
      <c r="G995" s="15" t="s">
        <v>16</v>
      </c>
      <c r="H995" s="17">
        <v>46630</v>
      </c>
      <c r="I995" s="15">
        <v>192</v>
      </c>
      <c r="J995" s="18">
        <v>224</v>
      </c>
      <c r="K995" t="str">
        <f t="shared" si="15"/>
        <v>DE500-SDR21</v>
      </c>
      <c r="L995">
        <f>VLOOKUP(K995,'[1]Tarif - Evolution Marché'!$F:$L,7,0)</f>
        <v>87.229100210970458</v>
      </c>
    </row>
    <row r="996" spans="1:12" x14ac:dyDescent="0.3">
      <c r="A996" s="8" t="s">
        <v>23</v>
      </c>
      <c r="B996" s="11">
        <v>560</v>
      </c>
      <c r="C996" s="11" t="s">
        <v>6</v>
      </c>
      <c r="D996" s="11">
        <v>8</v>
      </c>
      <c r="E996" s="21">
        <v>109.22</v>
      </c>
      <c r="F996" s="11" t="s">
        <v>18</v>
      </c>
      <c r="G996" s="11" t="s">
        <v>16</v>
      </c>
      <c r="H996" s="12">
        <v>46630</v>
      </c>
      <c r="I996" s="11">
        <v>192</v>
      </c>
      <c r="J996" s="13">
        <v>224</v>
      </c>
      <c r="K996" t="str">
        <f t="shared" si="15"/>
        <v>DE560-SDR21</v>
      </c>
      <c r="L996">
        <f>VLOOKUP(K996,'[1]Tarif - Evolution Marché'!$F:$L,7,0)</f>
        <v>109.21759915611813</v>
      </c>
    </row>
    <row r="997" spans="1:12" x14ac:dyDescent="0.3">
      <c r="A997" s="14" t="s">
        <v>23</v>
      </c>
      <c r="B997" s="15">
        <v>630</v>
      </c>
      <c r="C997" s="15" t="s">
        <v>6</v>
      </c>
      <c r="D997" s="15">
        <v>8</v>
      </c>
      <c r="E997" s="21">
        <v>137.72999999999999</v>
      </c>
      <c r="F997" s="15" t="s">
        <v>18</v>
      </c>
      <c r="G997" s="15" t="s">
        <v>16</v>
      </c>
      <c r="H997" s="17">
        <v>46630</v>
      </c>
      <c r="I997" s="15">
        <v>108</v>
      </c>
      <c r="J997" s="18">
        <v>126</v>
      </c>
      <c r="K997" t="str">
        <f t="shared" si="15"/>
        <v>DE630-SDR21</v>
      </c>
      <c r="L997">
        <f>VLOOKUP(K997,'[1]Tarif - Evolution Marché'!$F:$L,7,0)</f>
        <v>137.73015822784808</v>
      </c>
    </row>
    <row r="998" spans="1:12" x14ac:dyDescent="0.3">
      <c r="A998" s="8" t="s">
        <v>23</v>
      </c>
      <c r="B998" s="11">
        <v>710</v>
      </c>
      <c r="C998" s="11" t="s">
        <v>6</v>
      </c>
      <c r="D998" s="11">
        <v>8</v>
      </c>
      <c r="E998" s="21">
        <v>175.42</v>
      </c>
      <c r="F998" s="11" t="s">
        <v>18</v>
      </c>
      <c r="G998" s="11" t="s">
        <v>16</v>
      </c>
      <c r="H998" s="12">
        <v>46630</v>
      </c>
      <c r="I998" s="11">
        <v>108</v>
      </c>
      <c r="J998" s="13">
        <v>126</v>
      </c>
      <c r="K998" t="str">
        <f t="shared" si="15"/>
        <v>DE710-SDR21</v>
      </c>
      <c r="L998">
        <f>VLOOKUP(K998,'[1]Tarif - Evolution Marché'!$F:$L,7,0)</f>
        <v>175.42472784810121</v>
      </c>
    </row>
    <row r="999" spans="1:12" x14ac:dyDescent="0.3">
      <c r="A999" s="14" t="s">
        <v>23</v>
      </c>
      <c r="B999" s="15">
        <v>800</v>
      </c>
      <c r="C999" s="15" t="s">
        <v>6</v>
      </c>
      <c r="D999" s="15">
        <v>8</v>
      </c>
      <c r="E999" s="21">
        <v>222.3</v>
      </c>
      <c r="F999" s="15" t="s">
        <v>18</v>
      </c>
      <c r="G999" s="15" t="s">
        <v>16</v>
      </c>
      <c r="H999" s="17">
        <v>46630</v>
      </c>
      <c r="I999" s="15">
        <v>108</v>
      </c>
      <c r="J999" s="18">
        <v>126</v>
      </c>
      <c r="K999" t="str">
        <f t="shared" si="15"/>
        <v>DE800-SDR21</v>
      </c>
      <c r="L999">
        <f>VLOOKUP(K999,'[1]Tarif - Evolution Marché'!$F:$L,7,0)</f>
        <v>222.30130801687758</v>
      </c>
    </row>
    <row r="1000" spans="1:12" x14ac:dyDescent="0.3">
      <c r="A1000" s="8" t="s">
        <v>23</v>
      </c>
      <c r="B1000" s="11">
        <v>900</v>
      </c>
      <c r="C1000" s="11" t="s">
        <v>6</v>
      </c>
      <c r="D1000" s="11">
        <v>8</v>
      </c>
      <c r="E1000" s="21">
        <v>280.29000000000002</v>
      </c>
      <c r="F1000" s="11" t="s">
        <v>18</v>
      </c>
      <c r="G1000" s="11" t="s">
        <v>16</v>
      </c>
      <c r="H1000" s="12">
        <v>46630</v>
      </c>
      <c r="I1000" s="11">
        <v>72</v>
      </c>
      <c r="J1000" s="13">
        <v>84</v>
      </c>
      <c r="K1000" t="str">
        <f t="shared" si="15"/>
        <v>DE900-SDR21</v>
      </c>
      <c r="L1000">
        <f>VLOOKUP(K1000,'[1]Tarif - Evolution Marché'!$F:$L,7,0)</f>
        <v>280.29295358649784</v>
      </c>
    </row>
    <row r="1001" spans="1:12" x14ac:dyDescent="0.3">
      <c r="A1001" s="14" t="s">
        <v>23</v>
      </c>
      <c r="B1001" s="15">
        <v>1000</v>
      </c>
      <c r="C1001" s="15" t="s">
        <v>6</v>
      </c>
      <c r="D1001" s="15">
        <v>8</v>
      </c>
      <c r="E1001" s="21">
        <v>347.95</v>
      </c>
      <c r="F1001" s="15" t="s">
        <v>18</v>
      </c>
      <c r="G1001" s="15" t="s">
        <v>16</v>
      </c>
      <c r="H1001" s="17">
        <v>46630</v>
      </c>
      <c r="I1001" s="15">
        <v>48</v>
      </c>
      <c r="J1001" s="18">
        <v>56</v>
      </c>
      <c r="K1001" t="str">
        <f t="shared" si="15"/>
        <v>DE1000-SDR21</v>
      </c>
      <c r="L1001">
        <f>VLOOKUP(K1001,'[1]Tarif - Evolution Marché'!$F:$L,7,0)</f>
        <v>347.94987341772145</v>
      </c>
    </row>
    <row r="1002" spans="1:12" x14ac:dyDescent="0.3">
      <c r="A1002" s="8" t="s">
        <v>23</v>
      </c>
      <c r="B1002" s="11">
        <v>1200</v>
      </c>
      <c r="C1002" s="11" t="s">
        <v>6</v>
      </c>
      <c r="D1002" s="11">
        <v>8</v>
      </c>
      <c r="E1002" s="21">
        <v>500.18</v>
      </c>
      <c r="F1002" s="11" t="s">
        <v>18</v>
      </c>
      <c r="G1002" s="11" t="s">
        <v>16</v>
      </c>
      <c r="H1002" s="12">
        <v>46630</v>
      </c>
      <c r="I1002" s="11">
        <v>36</v>
      </c>
      <c r="J1002" s="13">
        <v>42</v>
      </c>
      <c r="K1002" t="str">
        <f t="shared" si="15"/>
        <v>DE1200-SDR21</v>
      </c>
      <c r="L1002">
        <f>VLOOKUP(K1002,'[1]Tarif - Evolution Marché'!$F:$L,7,0)</f>
        <v>500.17794303797461</v>
      </c>
    </row>
    <row r="1003" spans="1:12" x14ac:dyDescent="0.3">
      <c r="A1003" s="14" t="s">
        <v>23</v>
      </c>
      <c r="B1003" s="15">
        <v>32</v>
      </c>
      <c r="C1003" s="15" t="s">
        <v>7</v>
      </c>
      <c r="D1003" s="15">
        <v>10</v>
      </c>
      <c r="E1003" s="21">
        <v>0.48</v>
      </c>
      <c r="F1003" s="15" t="s">
        <v>18</v>
      </c>
      <c r="G1003" s="15" t="s">
        <v>16</v>
      </c>
      <c r="H1003" s="17">
        <v>46630</v>
      </c>
      <c r="I1003" s="17"/>
      <c r="J1003" s="18"/>
      <c r="K1003" t="str">
        <f t="shared" si="15"/>
        <v>DE32-SDR17</v>
      </c>
      <c r="L1003">
        <f>VLOOKUP(K1003,'[1]Tarif - Evolution Marché'!$F:$L,7,0)</f>
        <v>0.47843107594936701</v>
      </c>
    </row>
    <row r="1004" spans="1:12" x14ac:dyDescent="0.3">
      <c r="A1004" s="8" t="s">
        <v>23</v>
      </c>
      <c r="B1004" s="11">
        <v>40</v>
      </c>
      <c r="C1004" s="11" t="s">
        <v>7</v>
      </c>
      <c r="D1004" s="11">
        <v>10</v>
      </c>
      <c r="E1004" s="21">
        <v>0.72</v>
      </c>
      <c r="F1004" s="11" t="s">
        <v>18</v>
      </c>
      <c r="G1004" s="11" t="s">
        <v>16</v>
      </c>
      <c r="H1004" s="12">
        <v>46630</v>
      </c>
      <c r="I1004" s="12"/>
      <c r="J1004" s="13"/>
      <c r="K1004" t="str">
        <f t="shared" si="15"/>
        <v>DE40-SDR17</v>
      </c>
      <c r="L1004">
        <f>VLOOKUP(K1004,'[1]Tarif - Evolution Marché'!$F:$L,7,0)</f>
        <v>0.72247925105485211</v>
      </c>
    </row>
    <row r="1005" spans="1:12" x14ac:dyDescent="0.3">
      <c r="A1005" s="14" t="s">
        <v>23</v>
      </c>
      <c r="B1005" s="15">
        <v>50</v>
      </c>
      <c r="C1005" s="15" t="s">
        <v>7</v>
      </c>
      <c r="D1005" s="15">
        <v>10</v>
      </c>
      <c r="E1005" s="21">
        <v>1.1100000000000001</v>
      </c>
      <c r="F1005" s="15" t="s">
        <v>18</v>
      </c>
      <c r="G1005" s="15" t="s">
        <v>16</v>
      </c>
      <c r="H1005" s="17">
        <v>46630</v>
      </c>
      <c r="I1005" s="17"/>
      <c r="J1005" s="18"/>
      <c r="K1005" t="str">
        <f t="shared" si="15"/>
        <v>DE50-SDR17</v>
      </c>
      <c r="L1005">
        <f>VLOOKUP(K1005,'[1]Tarif - Evolution Marché'!$F:$L,7,0)</f>
        <v>1.1066739029535864</v>
      </c>
    </row>
    <row r="1006" spans="1:12" x14ac:dyDescent="0.3">
      <c r="A1006" s="8" t="s">
        <v>23</v>
      </c>
      <c r="B1006" s="11">
        <v>63</v>
      </c>
      <c r="C1006" s="11" t="s">
        <v>7</v>
      </c>
      <c r="D1006" s="11">
        <v>10</v>
      </c>
      <c r="E1006" s="21">
        <v>1.76</v>
      </c>
      <c r="F1006" s="11" t="s">
        <v>18</v>
      </c>
      <c r="G1006" s="11" t="s">
        <v>16</v>
      </c>
      <c r="H1006" s="12">
        <v>46630</v>
      </c>
      <c r="I1006" s="12"/>
      <c r="J1006" s="13"/>
      <c r="K1006" t="str">
        <f t="shared" si="15"/>
        <v>DE63-SDR17</v>
      </c>
      <c r="L1006">
        <f>VLOOKUP(K1006,'[1]Tarif - Evolution Marché'!$F:$L,7,0)</f>
        <v>1.759079915611814</v>
      </c>
    </row>
    <row r="1007" spans="1:12" x14ac:dyDescent="0.3">
      <c r="A1007" s="14" t="s">
        <v>23</v>
      </c>
      <c r="B1007" s="15">
        <v>75</v>
      </c>
      <c r="C1007" s="15" t="s">
        <v>7</v>
      </c>
      <c r="D1007" s="15">
        <v>10</v>
      </c>
      <c r="E1007" s="21">
        <v>2.4900000000000002</v>
      </c>
      <c r="F1007" s="15" t="s">
        <v>18</v>
      </c>
      <c r="G1007" s="15" t="s">
        <v>16</v>
      </c>
      <c r="H1007" s="17">
        <v>46630</v>
      </c>
      <c r="I1007" s="17"/>
      <c r="J1007" s="18"/>
      <c r="K1007" t="str">
        <f t="shared" si="15"/>
        <v>DE75-SDR17</v>
      </c>
      <c r="L1007">
        <f>VLOOKUP(K1007,'[1]Tarif - Evolution Marché'!$F:$L,7,0)</f>
        <v>2.4888081223628689</v>
      </c>
    </row>
    <row r="1008" spans="1:12" x14ac:dyDescent="0.3">
      <c r="A1008" s="8" t="s">
        <v>23</v>
      </c>
      <c r="B1008" s="11">
        <v>90</v>
      </c>
      <c r="C1008" s="11" t="s">
        <v>7</v>
      </c>
      <c r="D1008" s="11">
        <v>10</v>
      </c>
      <c r="E1008" s="21">
        <v>3.55</v>
      </c>
      <c r="F1008" s="11" t="s">
        <v>18</v>
      </c>
      <c r="G1008" s="11" t="s">
        <v>16</v>
      </c>
      <c r="H1008" s="12">
        <v>46630</v>
      </c>
      <c r="I1008" s="12"/>
      <c r="J1008" s="13"/>
      <c r="K1008" t="str">
        <f t="shared" si="15"/>
        <v>DE90-SDR17</v>
      </c>
      <c r="L1008">
        <f>VLOOKUP(K1008,'[1]Tarif - Evolution Marché'!$F:$L,7,0)</f>
        <v>3.55198829113924</v>
      </c>
    </row>
    <row r="1009" spans="1:12" x14ac:dyDescent="0.3">
      <c r="A1009" s="14" t="s">
        <v>23</v>
      </c>
      <c r="B1009" s="15">
        <v>110</v>
      </c>
      <c r="C1009" s="15" t="s">
        <v>7</v>
      </c>
      <c r="D1009" s="15">
        <v>10</v>
      </c>
      <c r="E1009" s="21">
        <v>5.29</v>
      </c>
      <c r="F1009" s="15" t="s">
        <v>18</v>
      </c>
      <c r="G1009" s="15" t="s">
        <v>16</v>
      </c>
      <c r="H1009" s="17">
        <v>46630</v>
      </c>
      <c r="I1009" s="17"/>
      <c r="J1009" s="18"/>
      <c r="K1009" t="str">
        <f t="shared" si="15"/>
        <v>DE110-SDR17</v>
      </c>
      <c r="L1009">
        <f>VLOOKUP(K1009,'[1]Tarif - Evolution Marché'!$F:$L,7,0)</f>
        <v>5.2917376582278468</v>
      </c>
    </row>
    <row r="1010" spans="1:12" x14ac:dyDescent="0.3">
      <c r="A1010" s="8" t="s">
        <v>23</v>
      </c>
      <c r="B1010" s="11">
        <v>125</v>
      </c>
      <c r="C1010" s="11" t="s">
        <v>7</v>
      </c>
      <c r="D1010" s="11">
        <v>10</v>
      </c>
      <c r="E1010" s="21">
        <v>6.74</v>
      </c>
      <c r="F1010" s="11" t="s">
        <v>18</v>
      </c>
      <c r="G1010" s="11" t="s">
        <v>16</v>
      </c>
      <c r="H1010" s="12">
        <v>46630</v>
      </c>
      <c r="I1010" s="11">
        <v>2400</v>
      </c>
      <c r="J1010" s="13">
        <v>2800</v>
      </c>
      <c r="K1010" t="str">
        <f t="shared" si="15"/>
        <v>DE125-SDR17</v>
      </c>
      <c r="L1010">
        <f>VLOOKUP(K1010,'[1]Tarif - Evolution Marché'!$F:$L,7,0)</f>
        <v>6.7415287974683533</v>
      </c>
    </row>
    <row r="1011" spans="1:12" x14ac:dyDescent="0.3">
      <c r="A1011" s="14" t="s">
        <v>23</v>
      </c>
      <c r="B1011" s="15">
        <v>140</v>
      </c>
      <c r="C1011" s="15" t="s">
        <v>7</v>
      </c>
      <c r="D1011" s="15">
        <v>10</v>
      </c>
      <c r="E1011" s="21">
        <v>8.4600000000000009</v>
      </c>
      <c r="F1011" s="15" t="s">
        <v>18</v>
      </c>
      <c r="G1011" s="15" t="s">
        <v>16</v>
      </c>
      <c r="H1011" s="17">
        <v>46630</v>
      </c>
      <c r="I1011" s="15">
        <v>1920</v>
      </c>
      <c r="J1011" s="18">
        <v>2240</v>
      </c>
      <c r="K1011" t="str">
        <f t="shared" si="15"/>
        <v>DE140-SDR17</v>
      </c>
      <c r="L1011">
        <f>VLOOKUP(K1011,'[1]Tarif - Evolution Marché'!$F:$L,7,0)</f>
        <v>8.4571149789029523</v>
      </c>
    </row>
    <row r="1012" spans="1:12" x14ac:dyDescent="0.3">
      <c r="A1012" s="8" t="s">
        <v>23</v>
      </c>
      <c r="B1012" s="11">
        <v>160</v>
      </c>
      <c r="C1012" s="11" t="s">
        <v>7</v>
      </c>
      <c r="D1012" s="11">
        <v>10</v>
      </c>
      <c r="E1012" s="21">
        <v>11.04</v>
      </c>
      <c r="F1012" s="11" t="s">
        <v>18</v>
      </c>
      <c r="G1012" s="11" t="s">
        <v>16</v>
      </c>
      <c r="H1012" s="12">
        <v>46630</v>
      </c>
      <c r="I1012" s="11">
        <v>1920</v>
      </c>
      <c r="J1012" s="13">
        <v>2240</v>
      </c>
      <c r="K1012" t="str">
        <f t="shared" si="15"/>
        <v>DE160-SDR17</v>
      </c>
      <c r="L1012">
        <f>VLOOKUP(K1012,'[1]Tarif - Evolution Marché'!$F:$L,7,0)</f>
        <v>11.042575843881854</v>
      </c>
    </row>
    <row r="1013" spans="1:12" x14ac:dyDescent="0.3">
      <c r="A1013" s="14" t="s">
        <v>23</v>
      </c>
      <c r="B1013" s="15">
        <v>180</v>
      </c>
      <c r="C1013" s="15" t="s">
        <v>7</v>
      </c>
      <c r="D1013" s="15">
        <v>10</v>
      </c>
      <c r="E1013" s="21">
        <v>13.94</v>
      </c>
      <c r="F1013" s="15" t="s">
        <v>18</v>
      </c>
      <c r="G1013" s="15" t="s">
        <v>16</v>
      </c>
      <c r="H1013" s="17">
        <v>46630</v>
      </c>
      <c r="I1013" s="15">
        <v>1200</v>
      </c>
      <c r="J1013" s="18">
        <v>1400</v>
      </c>
      <c r="K1013" t="str">
        <f t="shared" si="15"/>
        <v>DE180-SDR17</v>
      </c>
      <c r="L1013">
        <f>VLOOKUP(K1013,'[1]Tarif - Evolution Marché'!$F:$L,7,0)</f>
        <v>13.942158122362866</v>
      </c>
    </row>
    <row r="1014" spans="1:12" x14ac:dyDescent="0.3">
      <c r="A1014" s="8" t="s">
        <v>23</v>
      </c>
      <c r="B1014" s="11">
        <v>200</v>
      </c>
      <c r="C1014" s="11" t="s">
        <v>7</v>
      </c>
      <c r="D1014" s="11">
        <v>10</v>
      </c>
      <c r="E1014" s="21">
        <v>17.2</v>
      </c>
      <c r="F1014" s="11" t="s">
        <v>18</v>
      </c>
      <c r="G1014" s="11" t="s">
        <v>16</v>
      </c>
      <c r="H1014" s="12">
        <v>46630</v>
      </c>
      <c r="I1014" s="11">
        <v>960</v>
      </c>
      <c r="J1014" s="13">
        <v>1120</v>
      </c>
      <c r="K1014" t="str">
        <f t="shared" si="15"/>
        <v>DE200-SDR17</v>
      </c>
      <c r="L1014">
        <f>VLOOKUP(K1014,'[1]Tarif - Evolution Marché'!$F:$L,7,0)</f>
        <v>17.204188185654004</v>
      </c>
    </row>
    <row r="1015" spans="1:12" x14ac:dyDescent="0.3">
      <c r="A1015" s="14" t="s">
        <v>23</v>
      </c>
      <c r="B1015" s="15">
        <v>225</v>
      </c>
      <c r="C1015" s="15" t="s">
        <v>7</v>
      </c>
      <c r="D1015" s="15">
        <v>10</v>
      </c>
      <c r="E1015" s="21">
        <v>21.82</v>
      </c>
      <c r="F1015" s="15" t="s">
        <v>18</v>
      </c>
      <c r="G1015" s="15" t="s">
        <v>16</v>
      </c>
      <c r="H1015" s="17">
        <v>46630</v>
      </c>
      <c r="I1015" s="15">
        <v>960</v>
      </c>
      <c r="J1015" s="18">
        <v>1120</v>
      </c>
      <c r="K1015" t="str">
        <f t="shared" si="15"/>
        <v>DE225-SDR17</v>
      </c>
      <c r="L1015">
        <f>VLOOKUP(K1015,'[1]Tarif - Evolution Marché'!$F:$L,7,0)</f>
        <v>21.819356645569616</v>
      </c>
    </row>
    <row r="1016" spans="1:12" x14ac:dyDescent="0.3">
      <c r="A1016" s="8" t="s">
        <v>23</v>
      </c>
      <c r="B1016" s="11">
        <v>250</v>
      </c>
      <c r="C1016" s="11" t="s">
        <v>7</v>
      </c>
      <c r="D1016" s="11">
        <v>10</v>
      </c>
      <c r="E1016" s="21">
        <v>26.82</v>
      </c>
      <c r="F1016" s="11" t="s">
        <v>18</v>
      </c>
      <c r="G1016" s="11" t="s">
        <v>16</v>
      </c>
      <c r="H1016" s="12">
        <v>46630</v>
      </c>
      <c r="I1016" s="11">
        <v>672</v>
      </c>
      <c r="J1016" s="13">
        <v>784</v>
      </c>
      <c r="K1016" t="str">
        <f t="shared" si="15"/>
        <v>DE250-SDR17</v>
      </c>
      <c r="L1016">
        <f>VLOOKUP(K1016,'[1]Tarif - Evolution Marché'!$F:$L,7,0)</f>
        <v>26.821136075949362</v>
      </c>
    </row>
    <row r="1017" spans="1:12" x14ac:dyDescent="0.3">
      <c r="A1017" s="14" t="s">
        <v>23</v>
      </c>
      <c r="B1017" s="15">
        <v>280</v>
      </c>
      <c r="C1017" s="15" t="s">
        <v>7</v>
      </c>
      <c r="D1017" s="15">
        <v>10</v>
      </c>
      <c r="E1017" s="21">
        <v>33.590000000000003</v>
      </c>
      <c r="F1017" s="15" t="s">
        <v>18</v>
      </c>
      <c r="G1017" s="15" t="s">
        <v>16</v>
      </c>
      <c r="H1017" s="17">
        <v>46630</v>
      </c>
      <c r="I1017" s="15">
        <v>672</v>
      </c>
      <c r="J1017" s="18">
        <v>784</v>
      </c>
      <c r="K1017" t="str">
        <f t="shared" si="15"/>
        <v>DE280-SDR17</v>
      </c>
      <c r="L1017">
        <f>VLOOKUP(K1017,'[1]Tarif - Evolution Marché'!$F:$L,7,0)</f>
        <v>33.586828059071728</v>
      </c>
    </row>
    <row r="1018" spans="1:12" x14ac:dyDescent="0.3">
      <c r="A1018" s="8" t="s">
        <v>23</v>
      </c>
      <c r="B1018" s="11">
        <v>315</v>
      </c>
      <c r="C1018" s="11" t="s">
        <v>7</v>
      </c>
      <c r="D1018" s="11">
        <v>10</v>
      </c>
      <c r="E1018" s="21">
        <v>42.53</v>
      </c>
      <c r="F1018" s="11" t="s">
        <v>18</v>
      </c>
      <c r="G1018" s="11" t="s">
        <v>16</v>
      </c>
      <c r="H1018" s="12">
        <v>46630</v>
      </c>
      <c r="I1018" s="11">
        <v>432</v>
      </c>
      <c r="J1018" s="13">
        <v>504</v>
      </c>
      <c r="K1018" t="str">
        <f t="shared" si="15"/>
        <v>DE315-SDR17</v>
      </c>
      <c r="L1018">
        <f>VLOOKUP(K1018,'[1]Tarif - Evolution Marché'!$F:$L,7,0)</f>
        <v>42.527206751054848</v>
      </c>
    </row>
    <row r="1019" spans="1:12" x14ac:dyDescent="0.3">
      <c r="A1019" s="14" t="s">
        <v>23</v>
      </c>
      <c r="B1019" s="15">
        <v>355</v>
      </c>
      <c r="C1019" s="15" t="s">
        <v>7</v>
      </c>
      <c r="D1019" s="15">
        <v>10</v>
      </c>
      <c r="E1019" s="21">
        <v>54.13</v>
      </c>
      <c r="F1019" s="15" t="s">
        <v>18</v>
      </c>
      <c r="G1019" s="15" t="s">
        <v>16</v>
      </c>
      <c r="H1019" s="17">
        <v>46630</v>
      </c>
      <c r="I1019" s="15">
        <v>360</v>
      </c>
      <c r="J1019" s="18">
        <v>420</v>
      </c>
      <c r="K1019" t="str">
        <f t="shared" si="15"/>
        <v>DE355-SDR17</v>
      </c>
      <c r="L1019">
        <f>VLOOKUP(K1019,'[1]Tarif - Evolution Marché'!$F:$L,7,0)</f>
        <v>54.125535864978893</v>
      </c>
    </row>
    <row r="1020" spans="1:12" x14ac:dyDescent="0.3">
      <c r="A1020" s="8" t="s">
        <v>23</v>
      </c>
      <c r="B1020" s="11">
        <v>400</v>
      </c>
      <c r="C1020" s="11" t="s">
        <v>7</v>
      </c>
      <c r="D1020" s="11">
        <v>10</v>
      </c>
      <c r="E1020" s="21">
        <v>68.38</v>
      </c>
      <c r="F1020" s="11" t="s">
        <v>18</v>
      </c>
      <c r="G1020" s="11" t="s">
        <v>16</v>
      </c>
      <c r="H1020" s="12">
        <v>46630</v>
      </c>
      <c r="I1020" s="11">
        <v>360</v>
      </c>
      <c r="J1020" s="13">
        <v>420</v>
      </c>
      <c r="K1020" t="str">
        <f t="shared" si="15"/>
        <v>DE400-SDR17</v>
      </c>
      <c r="L1020">
        <f>VLOOKUP(K1020,'[1]Tarif - Evolution Marché'!$F:$L,7,0)</f>
        <v>68.381815400843877</v>
      </c>
    </row>
    <row r="1021" spans="1:12" x14ac:dyDescent="0.3">
      <c r="A1021" s="14" t="s">
        <v>23</v>
      </c>
      <c r="B1021" s="15">
        <v>450</v>
      </c>
      <c r="C1021" s="15" t="s">
        <v>7</v>
      </c>
      <c r="D1021" s="15">
        <v>10</v>
      </c>
      <c r="E1021" s="21">
        <v>86.5</v>
      </c>
      <c r="F1021" s="15" t="s">
        <v>18</v>
      </c>
      <c r="G1021" s="15" t="s">
        <v>16</v>
      </c>
      <c r="H1021" s="17">
        <v>46630</v>
      </c>
      <c r="I1021" s="15">
        <v>192</v>
      </c>
      <c r="J1021" s="18">
        <v>224</v>
      </c>
      <c r="K1021" t="str">
        <f t="shared" si="15"/>
        <v>DE450-SDR17</v>
      </c>
      <c r="L1021">
        <f>VLOOKUP(K1021,'[1]Tarif - Evolution Marché'!$F:$L,7,0)</f>
        <v>86.504204641350185</v>
      </c>
    </row>
    <row r="1022" spans="1:12" x14ac:dyDescent="0.3">
      <c r="A1022" s="8" t="s">
        <v>23</v>
      </c>
      <c r="B1022" s="11">
        <v>500</v>
      </c>
      <c r="C1022" s="11" t="s">
        <v>7</v>
      </c>
      <c r="D1022" s="11">
        <v>10</v>
      </c>
      <c r="E1022" s="21">
        <v>106.8</v>
      </c>
      <c r="F1022" s="11" t="s">
        <v>18</v>
      </c>
      <c r="G1022" s="11" t="s">
        <v>16</v>
      </c>
      <c r="H1022" s="12">
        <v>46630</v>
      </c>
      <c r="I1022" s="11">
        <v>192</v>
      </c>
      <c r="J1022" s="13">
        <v>224</v>
      </c>
      <c r="K1022" t="str">
        <f t="shared" si="15"/>
        <v>DE500-SDR17</v>
      </c>
      <c r="L1022">
        <f>VLOOKUP(K1022,'[1]Tarif - Evolution Marché'!$F:$L,7,0)</f>
        <v>106.80128059071728</v>
      </c>
    </row>
    <row r="1023" spans="1:12" x14ac:dyDescent="0.3">
      <c r="A1023" s="14" t="s">
        <v>23</v>
      </c>
      <c r="B1023" s="15">
        <v>560</v>
      </c>
      <c r="C1023" s="15" t="s">
        <v>7</v>
      </c>
      <c r="D1023" s="15">
        <v>10</v>
      </c>
      <c r="E1023" s="21">
        <v>133.86000000000001</v>
      </c>
      <c r="F1023" s="15" t="s">
        <v>18</v>
      </c>
      <c r="G1023" s="15" t="s">
        <v>16</v>
      </c>
      <c r="H1023" s="17">
        <v>46630</v>
      </c>
      <c r="I1023" s="15">
        <v>192</v>
      </c>
      <c r="J1023" s="18">
        <v>224</v>
      </c>
      <c r="K1023" t="str">
        <f t="shared" si="15"/>
        <v>DE560-SDR17</v>
      </c>
      <c r="L1023">
        <f>VLOOKUP(K1023,'[1]Tarif - Evolution Marché'!$F:$L,7,0)</f>
        <v>133.86404852320672</v>
      </c>
    </row>
    <row r="1024" spans="1:12" x14ac:dyDescent="0.3">
      <c r="A1024" s="8" t="s">
        <v>23</v>
      </c>
      <c r="B1024" s="11">
        <v>630</v>
      </c>
      <c r="C1024" s="11" t="s">
        <v>7</v>
      </c>
      <c r="D1024" s="11">
        <v>10</v>
      </c>
      <c r="E1024" s="21">
        <v>169.63</v>
      </c>
      <c r="F1024" s="11" t="s">
        <v>18</v>
      </c>
      <c r="G1024" s="11" t="s">
        <v>16</v>
      </c>
      <c r="H1024" s="12">
        <v>46630</v>
      </c>
      <c r="I1024" s="11">
        <v>108</v>
      </c>
      <c r="J1024" s="13">
        <v>126</v>
      </c>
      <c r="K1024" t="str">
        <f t="shared" si="15"/>
        <v>DE630-SDR17</v>
      </c>
      <c r="L1024">
        <f>VLOOKUP(K1024,'[1]Tarif - Evolution Marché'!$F:$L,7,0)</f>
        <v>169.62556329113923</v>
      </c>
    </row>
    <row r="1025" spans="1:12" x14ac:dyDescent="0.3">
      <c r="A1025" s="14" t="s">
        <v>23</v>
      </c>
      <c r="B1025" s="15">
        <v>710</v>
      </c>
      <c r="C1025" s="15" t="s">
        <v>7</v>
      </c>
      <c r="D1025" s="15">
        <v>10</v>
      </c>
      <c r="E1025" s="21">
        <v>215.05</v>
      </c>
      <c r="F1025" s="15" t="s">
        <v>18</v>
      </c>
      <c r="G1025" s="15" t="s">
        <v>16</v>
      </c>
      <c r="H1025" s="17">
        <v>46630</v>
      </c>
      <c r="I1025" s="15">
        <v>108</v>
      </c>
      <c r="J1025" s="18">
        <v>126</v>
      </c>
      <c r="K1025" t="str">
        <f t="shared" si="15"/>
        <v>DE710-SDR17</v>
      </c>
      <c r="L1025">
        <f>VLOOKUP(K1025,'[1]Tarif - Evolution Marché'!$F:$L,7,0)</f>
        <v>215.05235232067506</v>
      </c>
    </row>
    <row r="1026" spans="1:12" x14ac:dyDescent="0.3">
      <c r="A1026" s="8" t="s">
        <v>23</v>
      </c>
      <c r="B1026" s="11">
        <v>800</v>
      </c>
      <c r="C1026" s="11" t="s">
        <v>7</v>
      </c>
      <c r="D1026" s="11">
        <v>10</v>
      </c>
      <c r="E1026" s="21">
        <v>273.04000000000002</v>
      </c>
      <c r="F1026" s="11" t="s">
        <v>18</v>
      </c>
      <c r="G1026" s="11" t="s">
        <v>16</v>
      </c>
      <c r="H1026" s="12">
        <v>46630</v>
      </c>
      <c r="I1026" s="11">
        <v>108</v>
      </c>
      <c r="J1026" s="13">
        <v>126</v>
      </c>
      <c r="K1026" t="str">
        <f t="shared" si="15"/>
        <v>DE800-SDR17</v>
      </c>
      <c r="L1026">
        <f>VLOOKUP(K1026,'[1]Tarif - Evolution Marché'!$F:$L,7,0)</f>
        <v>273.04399789029532</v>
      </c>
    </row>
    <row r="1027" spans="1:12" x14ac:dyDescent="0.3">
      <c r="A1027" s="14" t="s">
        <v>23</v>
      </c>
      <c r="B1027" s="15">
        <v>900</v>
      </c>
      <c r="C1027" s="15" t="s">
        <v>7</v>
      </c>
      <c r="D1027" s="15">
        <v>10</v>
      </c>
      <c r="E1027" s="21">
        <v>345.53</v>
      </c>
      <c r="F1027" s="15" t="s">
        <v>18</v>
      </c>
      <c r="G1027" s="15" t="s">
        <v>16</v>
      </c>
      <c r="H1027" s="17">
        <v>46630</v>
      </c>
      <c r="I1027" s="15">
        <v>72</v>
      </c>
      <c r="J1027" s="18">
        <v>84</v>
      </c>
      <c r="K1027" t="str">
        <f t="shared" ref="K1027:K1090" si="16">CONCATENATE("DE",B1027,"-",C1027)</f>
        <v>DE900-SDR17</v>
      </c>
      <c r="L1027">
        <f>VLOOKUP(K1027,'[1]Tarif - Evolution Marché'!$F:$L,7,0)</f>
        <v>345.53355485232061</v>
      </c>
    </row>
    <row r="1028" spans="1:12" x14ac:dyDescent="0.3">
      <c r="A1028" s="8" t="s">
        <v>23</v>
      </c>
      <c r="B1028" s="11">
        <v>1000</v>
      </c>
      <c r="C1028" s="11" t="s">
        <v>7</v>
      </c>
      <c r="D1028" s="11">
        <v>10</v>
      </c>
      <c r="E1028" s="21">
        <v>425.27</v>
      </c>
      <c r="F1028" s="11" t="s">
        <v>18</v>
      </c>
      <c r="G1028" s="11" t="s">
        <v>16</v>
      </c>
      <c r="H1028" s="12">
        <v>46630</v>
      </c>
      <c r="I1028" s="11">
        <v>48</v>
      </c>
      <c r="J1028" s="13">
        <v>56</v>
      </c>
      <c r="K1028" t="str">
        <f t="shared" si="16"/>
        <v>DE1000-SDR17</v>
      </c>
      <c r="L1028">
        <f>VLOOKUP(K1028,'[1]Tarif - Evolution Marché'!$F:$L,7,0)</f>
        <v>425.27206751054842</v>
      </c>
    </row>
    <row r="1029" spans="1:12" x14ac:dyDescent="0.3">
      <c r="A1029" s="14" t="s">
        <v>23</v>
      </c>
      <c r="B1029" s="15">
        <v>25</v>
      </c>
      <c r="C1029" s="15" t="s">
        <v>8</v>
      </c>
      <c r="D1029" s="15">
        <v>12.5</v>
      </c>
      <c r="E1029" s="21">
        <v>0.36</v>
      </c>
      <c r="F1029" s="15" t="s">
        <v>18</v>
      </c>
      <c r="G1029" s="15" t="s">
        <v>16</v>
      </c>
      <c r="H1029" s="17">
        <v>46630</v>
      </c>
      <c r="I1029" s="17"/>
      <c r="J1029" s="18"/>
      <c r="K1029" t="str">
        <f t="shared" si="16"/>
        <v>DE25-SDR13,6</v>
      </c>
      <c r="L1029">
        <f>VLOOKUP(K1029,'[1]Tarif - Evolution Marché'!$F:$L,7,0)</f>
        <v>0.36486410337552733</v>
      </c>
    </row>
    <row r="1030" spans="1:12" x14ac:dyDescent="0.3">
      <c r="A1030" s="8" t="s">
        <v>23</v>
      </c>
      <c r="B1030" s="11">
        <v>32</v>
      </c>
      <c r="C1030" s="11" t="s">
        <v>8</v>
      </c>
      <c r="D1030" s="11">
        <v>12.5</v>
      </c>
      <c r="E1030" s="21">
        <v>0.56999999999999995</v>
      </c>
      <c r="F1030" s="11" t="s">
        <v>18</v>
      </c>
      <c r="G1030" s="11" t="s">
        <v>16</v>
      </c>
      <c r="H1030" s="12">
        <v>46630</v>
      </c>
      <c r="I1030" s="12"/>
      <c r="J1030" s="13"/>
      <c r="K1030" t="str">
        <f t="shared" si="16"/>
        <v>DE32-SDR13,6</v>
      </c>
      <c r="L1030">
        <f>VLOOKUP(K1030,'[1]Tarif - Evolution Marché'!$F:$L,7,0)</f>
        <v>0.56783486286919815</v>
      </c>
    </row>
    <row r="1031" spans="1:12" x14ac:dyDescent="0.3">
      <c r="A1031" s="14" t="s">
        <v>23</v>
      </c>
      <c r="B1031" s="15">
        <v>40</v>
      </c>
      <c r="C1031" s="15" t="s">
        <v>8</v>
      </c>
      <c r="D1031" s="15">
        <v>12.5</v>
      </c>
      <c r="E1031" s="21">
        <v>0.87</v>
      </c>
      <c r="F1031" s="15" t="s">
        <v>18</v>
      </c>
      <c r="G1031" s="15" t="s">
        <v>16</v>
      </c>
      <c r="H1031" s="17">
        <v>46630</v>
      </c>
      <c r="I1031" s="17"/>
      <c r="J1031" s="18"/>
      <c r="K1031" t="str">
        <f t="shared" si="16"/>
        <v>DE40-SDR13,6</v>
      </c>
      <c r="L1031">
        <f>VLOOKUP(K1031,'[1]Tarif - Evolution Marché'!$F:$L,7,0)</f>
        <v>0.86987468354430364</v>
      </c>
    </row>
    <row r="1032" spans="1:12" x14ac:dyDescent="0.3">
      <c r="A1032" s="8" t="s">
        <v>23</v>
      </c>
      <c r="B1032" s="11">
        <v>50</v>
      </c>
      <c r="C1032" s="11" t="s">
        <v>8</v>
      </c>
      <c r="D1032" s="11">
        <v>12.5</v>
      </c>
      <c r="E1032" s="21">
        <v>1.34</v>
      </c>
      <c r="F1032" s="11" t="s">
        <v>18</v>
      </c>
      <c r="G1032" s="11" t="s">
        <v>16</v>
      </c>
      <c r="H1032" s="12">
        <v>46630</v>
      </c>
      <c r="I1032" s="12"/>
      <c r="J1032" s="13"/>
      <c r="K1032" t="str">
        <f t="shared" si="16"/>
        <v>DE50-SDR13,6</v>
      </c>
      <c r="L1032">
        <f>VLOOKUP(K1032,'[1]Tarif - Evolution Marché'!$F:$L,7,0)</f>
        <v>1.3410568037974682</v>
      </c>
    </row>
    <row r="1033" spans="1:12" x14ac:dyDescent="0.3">
      <c r="A1033" s="14" t="s">
        <v>23</v>
      </c>
      <c r="B1033" s="15">
        <v>63</v>
      </c>
      <c r="C1033" s="15" t="s">
        <v>8</v>
      </c>
      <c r="D1033" s="15">
        <v>12.5</v>
      </c>
      <c r="E1033" s="21">
        <v>2.13</v>
      </c>
      <c r="F1033" s="15" t="s">
        <v>18</v>
      </c>
      <c r="G1033" s="15" t="s">
        <v>16</v>
      </c>
      <c r="H1033" s="17">
        <v>46630</v>
      </c>
      <c r="I1033" s="17"/>
      <c r="J1033" s="18"/>
      <c r="K1033" t="str">
        <f t="shared" si="16"/>
        <v>DE63-SDR13,6</v>
      </c>
      <c r="L1033">
        <f>VLOOKUP(K1033,'[1]Tarif - Evolution Marché'!$F:$L,7,0)</f>
        <v>2.133609293248945</v>
      </c>
    </row>
    <row r="1034" spans="1:12" x14ac:dyDescent="0.3">
      <c r="A1034" s="8" t="s">
        <v>23</v>
      </c>
      <c r="B1034" s="11">
        <v>75</v>
      </c>
      <c r="C1034" s="11" t="s">
        <v>8</v>
      </c>
      <c r="D1034" s="11">
        <v>12.5</v>
      </c>
      <c r="E1034" s="21">
        <v>3.02</v>
      </c>
      <c r="F1034" s="11" t="s">
        <v>18</v>
      </c>
      <c r="G1034" s="11" t="s">
        <v>16</v>
      </c>
      <c r="H1034" s="12">
        <v>46630</v>
      </c>
      <c r="I1034" s="12"/>
      <c r="J1034" s="13"/>
      <c r="K1034" t="str">
        <f t="shared" si="16"/>
        <v>DE75-SDR13,6</v>
      </c>
      <c r="L1034">
        <f>VLOOKUP(K1034,'[1]Tarif - Evolution Marché'!$F:$L,7,0)</f>
        <v>3.0203982067510542</v>
      </c>
    </row>
    <row r="1035" spans="1:12" x14ac:dyDescent="0.3">
      <c r="A1035" s="14" t="s">
        <v>23</v>
      </c>
      <c r="B1035" s="15">
        <v>90</v>
      </c>
      <c r="C1035" s="15" t="s">
        <v>8</v>
      </c>
      <c r="D1035" s="15">
        <v>12.5</v>
      </c>
      <c r="E1035" s="21">
        <v>4.33</v>
      </c>
      <c r="F1035" s="15" t="s">
        <v>18</v>
      </c>
      <c r="G1035" s="15" t="s">
        <v>16</v>
      </c>
      <c r="H1035" s="17">
        <v>46630</v>
      </c>
      <c r="I1035" s="17"/>
      <c r="J1035" s="18"/>
      <c r="K1035" t="str">
        <f t="shared" si="16"/>
        <v>DE90-SDR13,6</v>
      </c>
      <c r="L1035">
        <f>VLOOKUP(K1035,'[1]Tarif - Evolution Marché'!$F:$L,7,0)</f>
        <v>4.3252102320675094</v>
      </c>
    </row>
    <row r="1036" spans="1:12" x14ac:dyDescent="0.3">
      <c r="A1036" s="8" t="s">
        <v>23</v>
      </c>
      <c r="B1036" s="11">
        <v>110</v>
      </c>
      <c r="C1036" s="11" t="s">
        <v>8</v>
      </c>
      <c r="D1036" s="11">
        <v>12.5</v>
      </c>
      <c r="E1036" s="21">
        <v>6.38</v>
      </c>
      <c r="F1036" s="11" t="s">
        <v>18</v>
      </c>
      <c r="G1036" s="11" t="s">
        <v>16</v>
      </c>
      <c r="H1036" s="12">
        <v>46630</v>
      </c>
      <c r="I1036" s="12"/>
      <c r="J1036" s="13"/>
      <c r="K1036" t="str">
        <f t="shared" si="16"/>
        <v>DE110-SDR13,6</v>
      </c>
      <c r="L1036">
        <f>VLOOKUP(K1036,'[1]Tarif - Evolution Marché'!$F:$L,7,0)</f>
        <v>6.3790810126582267</v>
      </c>
    </row>
    <row r="1037" spans="1:12" x14ac:dyDescent="0.3">
      <c r="A1037" s="14" t="s">
        <v>23</v>
      </c>
      <c r="B1037" s="15">
        <v>125</v>
      </c>
      <c r="C1037" s="15" t="s">
        <v>8</v>
      </c>
      <c r="D1037" s="15">
        <v>12.5</v>
      </c>
      <c r="E1037" s="21">
        <v>8.2200000000000006</v>
      </c>
      <c r="F1037" s="15" t="s">
        <v>18</v>
      </c>
      <c r="G1037" s="15" t="s">
        <v>16</v>
      </c>
      <c r="H1037" s="17">
        <v>46630</v>
      </c>
      <c r="I1037" s="15">
        <v>2400</v>
      </c>
      <c r="J1037" s="18">
        <v>2800</v>
      </c>
      <c r="K1037" t="str">
        <f t="shared" si="16"/>
        <v>DE125-SDR13,6</v>
      </c>
      <c r="L1037">
        <f>VLOOKUP(K1037,'[1]Tarif - Evolution Marché'!$F:$L,7,0)</f>
        <v>8.2154831223628673</v>
      </c>
    </row>
    <row r="1038" spans="1:12" x14ac:dyDescent="0.3">
      <c r="A1038" s="8" t="s">
        <v>23</v>
      </c>
      <c r="B1038" s="11">
        <v>140</v>
      </c>
      <c r="C1038" s="11" t="s">
        <v>8</v>
      </c>
      <c r="D1038" s="11">
        <v>12.5</v>
      </c>
      <c r="E1038" s="21">
        <v>10.29</v>
      </c>
      <c r="F1038" s="11" t="s">
        <v>18</v>
      </c>
      <c r="G1038" s="11" t="s">
        <v>16</v>
      </c>
      <c r="H1038" s="12">
        <v>46630</v>
      </c>
      <c r="I1038" s="11">
        <v>1920</v>
      </c>
      <c r="J1038" s="13">
        <v>2240</v>
      </c>
      <c r="K1038" t="str">
        <f t="shared" si="16"/>
        <v>DE140-SDR13,6</v>
      </c>
      <c r="L1038">
        <f>VLOOKUP(K1038,'[1]Tarif - Evolution Marché'!$F:$L,7,0)</f>
        <v>10.293517088607592</v>
      </c>
    </row>
    <row r="1039" spans="1:12" x14ac:dyDescent="0.3">
      <c r="A1039" s="14" t="s">
        <v>23</v>
      </c>
      <c r="B1039" s="15">
        <v>160</v>
      </c>
      <c r="C1039" s="15" t="s">
        <v>8</v>
      </c>
      <c r="D1039" s="15">
        <v>12.5</v>
      </c>
      <c r="E1039" s="21">
        <v>13.43</v>
      </c>
      <c r="F1039" s="15" t="s">
        <v>18</v>
      </c>
      <c r="G1039" s="15" t="s">
        <v>16</v>
      </c>
      <c r="H1039" s="17">
        <v>46630</v>
      </c>
      <c r="I1039" s="15">
        <v>1920</v>
      </c>
      <c r="J1039" s="18">
        <v>2240</v>
      </c>
      <c r="K1039" t="str">
        <f t="shared" si="16"/>
        <v>DE160-SDR13,6</v>
      </c>
      <c r="L1039">
        <f>VLOOKUP(K1039,'[1]Tarif - Evolution Marché'!$F:$L,7,0)</f>
        <v>13.434731223628688</v>
      </c>
    </row>
    <row r="1040" spans="1:12" x14ac:dyDescent="0.3">
      <c r="A1040" s="8" t="s">
        <v>23</v>
      </c>
      <c r="B1040" s="11">
        <v>180</v>
      </c>
      <c r="C1040" s="11" t="s">
        <v>8</v>
      </c>
      <c r="D1040" s="11">
        <v>12.5</v>
      </c>
      <c r="E1040" s="21">
        <v>17.04</v>
      </c>
      <c r="F1040" s="11" t="s">
        <v>18</v>
      </c>
      <c r="G1040" s="11" t="s">
        <v>16</v>
      </c>
      <c r="H1040" s="12">
        <v>46630</v>
      </c>
      <c r="I1040" s="11">
        <v>1200</v>
      </c>
      <c r="J1040" s="13">
        <v>1400</v>
      </c>
      <c r="K1040" t="str">
        <f t="shared" si="16"/>
        <v>DE180-SDR13,6</v>
      </c>
      <c r="L1040">
        <f>VLOOKUP(K1040,'[1]Tarif - Evolution Marché'!$F:$L,7,0)</f>
        <v>17.035045886075945</v>
      </c>
    </row>
    <row r="1041" spans="1:12" x14ac:dyDescent="0.3">
      <c r="A1041" s="14" t="s">
        <v>23</v>
      </c>
      <c r="B1041" s="15">
        <v>200</v>
      </c>
      <c r="C1041" s="15" t="s">
        <v>8</v>
      </c>
      <c r="D1041" s="15">
        <v>12.5</v>
      </c>
      <c r="E1041" s="21">
        <v>20.9</v>
      </c>
      <c r="F1041" s="15" t="s">
        <v>18</v>
      </c>
      <c r="G1041" s="15" t="s">
        <v>16</v>
      </c>
      <c r="H1041" s="17">
        <v>46630</v>
      </c>
      <c r="I1041" s="15">
        <v>960</v>
      </c>
      <c r="J1041" s="18">
        <v>1120</v>
      </c>
      <c r="K1041" t="str">
        <f t="shared" si="16"/>
        <v>DE200-SDR13,6</v>
      </c>
      <c r="L1041">
        <f>VLOOKUP(K1041,'[1]Tarif - Evolution Marché'!$F:$L,7,0)</f>
        <v>20.901155590717298</v>
      </c>
    </row>
    <row r="1042" spans="1:12" x14ac:dyDescent="0.3">
      <c r="A1042" s="8" t="s">
        <v>23</v>
      </c>
      <c r="B1042" s="11">
        <v>225</v>
      </c>
      <c r="C1042" s="11" t="s">
        <v>8</v>
      </c>
      <c r="D1042" s="11">
        <v>12.5</v>
      </c>
      <c r="E1042" s="21">
        <v>26.58</v>
      </c>
      <c r="F1042" s="11" t="s">
        <v>18</v>
      </c>
      <c r="G1042" s="11" t="s">
        <v>16</v>
      </c>
      <c r="H1042" s="12">
        <v>46630</v>
      </c>
      <c r="I1042" s="11">
        <v>960</v>
      </c>
      <c r="J1042" s="13">
        <v>1120</v>
      </c>
      <c r="K1042" t="str">
        <f t="shared" si="16"/>
        <v>DE225-SDR13,6</v>
      </c>
      <c r="L1042">
        <f>VLOOKUP(K1042,'[1]Tarif - Evolution Marché'!$F:$L,7,0)</f>
        <v>26.579504219409277</v>
      </c>
    </row>
    <row r="1043" spans="1:12" x14ac:dyDescent="0.3">
      <c r="A1043" s="14" t="s">
        <v>23</v>
      </c>
      <c r="B1043" s="15">
        <v>250</v>
      </c>
      <c r="C1043" s="15" t="s">
        <v>8</v>
      </c>
      <c r="D1043" s="15">
        <v>12.5</v>
      </c>
      <c r="E1043" s="21">
        <v>32.619999999999997</v>
      </c>
      <c r="F1043" s="15" t="s">
        <v>18</v>
      </c>
      <c r="G1043" s="15" t="s">
        <v>16</v>
      </c>
      <c r="H1043" s="17">
        <v>46630</v>
      </c>
      <c r="I1043" s="15">
        <v>672</v>
      </c>
      <c r="J1043" s="18">
        <v>784</v>
      </c>
      <c r="K1043" t="str">
        <f t="shared" si="16"/>
        <v>DE250-SDR13,6</v>
      </c>
      <c r="L1043">
        <f>VLOOKUP(K1043,'[1]Tarif - Evolution Marché'!$F:$L,7,0)</f>
        <v>32.620300632911388</v>
      </c>
    </row>
    <row r="1044" spans="1:12" x14ac:dyDescent="0.3">
      <c r="A1044" s="8" t="s">
        <v>23</v>
      </c>
      <c r="B1044" s="11">
        <v>280</v>
      </c>
      <c r="C1044" s="11" t="s">
        <v>8</v>
      </c>
      <c r="D1044" s="11">
        <v>12.5</v>
      </c>
      <c r="E1044" s="21">
        <v>40.840000000000003</v>
      </c>
      <c r="F1044" s="11" t="s">
        <v>18</v>
      </c>
      <c r="G1044" s="11" t="s">
        <v>16</v>
      </c>
      <c r="H1044" s="12">
        <v>46630</v>
      </c>
      <c r="I1044" s="11">
        <v>672</v>
      </c>
      <c r="J1044" s="13">
        <v>784</v>
      </c>
      <c r="K1044" t="str">
        <f t="shared" si="16"/>
        <v>DE280-SDR13,6</v>
      </c>
      <c r="L1044">
        <f>VLOOKUP(K1044,'[1]Tarif - Evolution Marché'!$F:$L,7,0)</f>
        <v>40.83578375527425</v>
      </c>
    </row>
    <row r="1045" spans="1:12" x14ac:dyDescent="0.3">
      <c r="A1045" s="14" t="s">
        <v>23</v>
      </c>
      <c r="B1045" s="15">
        <v>315</v>
      </c>
      <c r="C1045" s="15" t="s">
        <v>8</v>
      </c>
      <c r="D1045" s="15">
        <v>12.5</v>
      </c>
      <c r="E1045" s="21">
        <v>51.95</v>
      </c>
      <c r="F1045" s="15" t="s">
        <v>18</v>
      </c>
      <c r="G1045" s="15" t="s">
        <v>16</v>
      </c>
      <c r="H1045" s="17">
        <v>46630</v>
      </c>
      <c r="I1045" s="15">
        <v>432</v>
      </c>
      <c r="J1045" s="18">
        <v>504</v>
      </c>
      <c r="K1045" t="str">
        <f t="shared" si="16"/>
        <v>DE315-SDR13,6</v>
      </c>
      <c r="L1045">
        <f>VLOOKUP(K1045,'[1]Tarif - Evolution Marché'!$F:$L,7,0)</f>
        <v>51.950849156118132</v>
      </c>
    </row>
    <row r="1046" spans="1:12" x14ac:dyDescent="0.3">
      <c r="A1046" s="8" t="s">
        <v>23</v>
      </c>
      <c r="B1046" s="11">
        <v>355</v>
      </c>
      <c r="C1046" s="11" t="s">
        <v>8</v>
      </c>
      <c r="D1046" s="11">
        <v>12.5</v>
      </c>
      <c r="E1046" s="21">
        <v>65.72</v>
      </c>
      <c r="F1046" s="11" t="s">
        <v>18</v>
      </c>
      <c r="G1046" s="11" t="s">
        <v>16</v>
      </c>
      <c r="H1046" s="12">
        <v>46630</v>
      </c>
      <c r="I1046" s="11">
        <v>360</v>
      </c>
      <c r="J1046" s="13">
        <v>420</v>
      </c>
      <c r="K1046" t="str">
        <f t="shared" si="16"/>
        <v>DE355-SDR13,6</v>
      </c>
      <c r="L1046">
        <f>VLOOKUP(K1046,'[1]Tarif - Evolution Marché'!$F:$L,7,0)</f>
        <v>65.723864978902938</v>
      </c>
    </row>
    <row r="1047" spans="1:12" x14ac:dyDescent="0.3">
      <c r="A1047" s="14" t="s">
        <v>23</v>
      </c>
      <c r="B1047" s="15">
        <v>400</v>
      </c>
      <c r="C1047" s="15" t="s">
        <v>8</v>
      </c>
      <c r="D1047" s="15">
        <v>12.5</v>
      </c>
      <c r="E1047" s="21">
        <v>83.36</v>
      </c>
      <c r="F1047" s="15" t="s">
        <v>18</v>
      </c>
      <c r="G1047" s="15" t="s">
        <v>16</v>
      </c>
      <c r="H1047" s="17">
        <v>46630</v>
      </c>
      <c r="I1047" s="15">
        <v>360</v>
      </c>
      <c r="J1047" s="18">
        <v>420</v>
      </c>
      <c r="K1047" t="str">
        <f t="shared" si="16"/>
        <v>DE400-SDR13,6</v>
      </c>
      <c r="L1047">
        <f>VLOOKUP(K1047,'[1]Tarif - Evolution Marché'!$F:$L,7,0)</f>
        <v>83.362990506329098</v>
      </c>
    </row>
    <row r="1048" spans="1:12" x14ac:dyDescent="0.3">
      <c r="A1048" s="8" t="s">
        <v>23</v>
      </c>
      <c r="B1048" s="11">
        <v>450</v>
      </c>
      <c r="C1048" s="11" t="s">
        <v>8</v>
      </c>
      <c r="D1048" s="11">
        <v>12.5</v>
      </c>
      <c r="E1048" s="21">
        <v>105.59</v>
      </c>
      <c r="F1048" s="11" t="s">
        <v>18</v>
      </c>
      <c r="G1048" s="11" t="s">
        <v>16</v>
      </c>
      <c r="H1048" s="12">
        <v>46630</v>
      </c>
      <c r="I1048" s="11">
        <v>192</v>
      </c>
      <c r="J1048" s="13">
        <v>224</v>
      </c>
      <c r="K1048" t="str">
        <f t="shared" si="16"/>
        <v>DE450-SDR13,6</v>
      </c>
      <c r="L1048">
        <f>VLOOKUP(K1048,'[1]Tarif - Evolution Marché'!$F:$L,7,0)</f>
        <v>105.59312130801686</v>
      </c>
    </row>
    <row r="1049" spans="1:12" x14ac:dyDescent="0.3">
      <c r="A1049" s="14" t="s">
        <v>23</v>
      </c>
      <c r="B1049" s="15">
        <v>500</v>
      </c>
      <c r="C1049" s="15" t="s">
        <v>8</v>
      </c>
      <c r="D1049" s="15">
        <v>12.5</v>
      </c>
      <c r="E1049" s="21">
        <v>130.24</v>
      </c>
      <c r="F1049" s="15" t="s">
        <v>18</v>
      </c>
      <c r="G1049" s="15" t="s">
        <v>16</v>
      </c>
      <c r="H1049" s="17">
        <v>46630</v>
      </c>
      <c r="I1049" s="15">
        <v>192</v>
      </c>
      <c r="J1049" s="18">
        <v>224</v>
      </c>
      <c r="K1049" t="str">
        <f t="shared" si="16"/>
        <v>DE500-SDR13,6</v>
      </c>
      <c r="L1049">
        <f>VLOOKUP(K1049,'[1]Tarif - Evolution Marché'!$F:$L,7,0)</f>
        <v>130.23957067510545</v>
      </c>
    </row>
    <row r="1050" spans="1:12" x14ac:dyDescent="0.3">
      <c r="A1050" s="8" t="s">
        <v>23</v>
      </c>
      <c r="B1050" s="11">
        <v>560</v>
      </c>
      <c r="C1050" s="11" t="s">
        <v>8</v>
      </c>
      <c r="D1050" s="11">
        <v>12.5</v>
      </c>
      <c r="E1050" s="21">
        <v>163.34</v>
      </c>
      <c r="F1050" s="11" t="s">
        <v>18</v>
      </c>
      <c r="G1050" s="11" t="s">
        <v>16</v>
      </c>
      <c r="H1050" s="12">
        <v>46630</v>
      </c>
      <c r="I1050" s="11">
        <v>192</v>
      </c>
      <c r="J1050" s="13">
        <v>224</v>
      </c>
      <c r="K1050" t="str">
        <f t="shared" si="16"/>
        <v>DE560-SDR13,6</v>
      </c>
      <c r="L1050">
        <f>VLOOKUP(K1050,'[1]Tarif - Evolution Marché'!$F:$L,7,0)</f>
        <v>163.343135021097</v>
      </c>
    </row>
    <row r="1051" spans="1:12" x14ac:dyDescent="0.3">
      <c r="A1051" s="14" t="s">
        <v>23</v>
      </c>
      <c r="B1051" s="15">
        <v>630</v>
      </c>
      <c r="C1051" s="15" t="s">
        <v>8</v>
      </c>
      <c r="D1051" s="15">
        <v>12.5</v>
      </c>
      <c r="E1051" s="21">
        <v>206.6</v>
      </c>
      <c r="F1051" s="15" t="s">
        <v>18</v>
      </c>
      <c r="G1051" s="15" t="s">
        <v>16</v>
      </c>
      <c r="H1051" s="17">
        <v>46630</v>
      </c>
      <c r="I1051" s="15">
        <v>108</v>
      </c>
      <c r="J1051" s="18">
        <v>126</v>
      </c>
      <c r="K1051" t="str">
        <f t="shared" si="16"/>
        <v>DE630-SDR13,6</v>
      </c>
      <c r="L1051">
        <f>VLOOKUP(K1051,'[1]Tarif - Evolution Marché'!$F:$L,7,0)</f>
        <v>206.5952373417721</v>
      </c>
    </row>
    <row r="1052" spans="1:12" x14ac:dyDescent="0.3">
      <c r="A1052" s="8" t="s">
        <v>23</v>
      </c>
      <c r="B1052" s="11">
        <v>710</v>
      </c>
      <c r="C1052" s="11" t="s">
        <v>8</v>
      </c>
      <c r="D1052" s="11">
        <v>12.5</v>
      </c>
      <c r="E1052" s="21">
        <v>263.38</v>
      </c>
      <c r="F1052" s="11" t="s">
        <v>18</v>
      </c>
      <c r="G1052" s="11" t="s">
        <v>16</v>
      </c>
      <c r="H1052" s="12">
        <v>46630</v>
      </c>
      <c r="I1052" s="11">
        <v>108</v>
      </c>
      <c r="J1052" s="13">
        <v>126</v>
      </c>
      <c r="K1052" t="str">
        <f t="shared" si="16"/>
        <v>DE710-SDR13,6</v>
      </c>
      <c r="L1052">
        <f>VLOOKUP(K1052,'[1]Tarif - Evolution Marché'!$F:$L,7,0)</f>
        <v>263.37872362869194</v>
      </c>
    </row>
    <row r="1053" spans="1:12" x14ac:dyDescent="0.3">
      <c r="A1053" s="14" t="s">
        <v>23</v>
      </c>
      <c r="B1053" s="15">
        <v>800</v>
      </c>
      <c r="C1053" s="15" t="s">
        <v>8</v>
      </c>
      <c r="D1053" s="15">
        <v>12.5</v>
      </c>
      <c r="E1053" s="21">
        <v>333.45</v>
      </c>
      <c r="F1053" s="15" t="s">
        <v>18</v>
      </c>
      <c r="G1053" s="15" t="s">
        <v>16</v>
      </c>
      <c r="H1053" s="17">
        <v>46630</v>
      </c>
      <c r="I1053" s="15">
        <v>108</v>
      </c>
      <c r="J1053" s="18">
        <v>126</v>
      </c>
      <c r="K1053" t="str">
        <f t="shared" si="16"/>
        <v>DE800-SDR13,6</v>
      </c>
      <c r="L1053">
        <f>VLOOKUP(K1053,'[1]Tarif - Evolution Marché'!$F:$L,7,0)</f>
        <v>333.45196202531639</v>
      </c>
    </row>
    <row r="1054" spans="1:12" x14ac:dyDescent="0.3">
      <c r="A1054" s="8" t="s">
        <v>23</v>
      </c>
      <c r="B1054" s="11">
        <v>900</v>
      </c>
      <c r="C1054" s="11" t="s">
        <v>8</v>
      </c>
      <c r="D1054" s="11">
        <v>12.5</v>
      </c>
      <c r="E1054" s="21">
        <v>420.44</v>
      </c>
      <c r="F1054" s="11" t="s">
        <v>18</v>
      </c>
      <c r="G1054" s="11" t="s">
        <v>16</v>
      </c>
      <c r="H1054" s="12">
        <v>46630</v>
      </c>
      <c r="I1054" s="11">
        <v>72</v>
      </c>
      <c r="J1054" s="13">
        <v>84</v>
      </c>
      <c r="K1054" t="str">
        <f t="shared" si="16"/>
        <v>DE900-SDR13,6</v>
      </c>
      <c r="L1054">
        <f>VLOOKUP(K1054,'[1]Tarif - Evolution Marché'!$F:$L,7,0)</f>
        <v>420.43943037974674</v>
      </c>
    </row>
    <row r="1055" spans="1:12" x14ac:dyDescent="0.3">
      <c r="A1055" s="14" t="s">
        <v>23</v>
      </c>
      <c r="B1055" s="15">
        <v>20</v>
      </c>
      <c r="C1055" s="15" t="s">
        <v>9</v>
      </c>
      <c r="D1055" s="15">
        <v>16</v>
      </c>
      <c r="E1055" s="21">
        <v>0.28999999999999998</v>
      </c>
      <c r="F1055" s="15" t="s">
        <v>18</v>
      </c>
      <c r="G1055" s="15" t="s">
        <v>16</v>
      </c>
      <c r="H1055" s="17">
        <v>46630</v>
      </c>
      <c r="I1055" s="17"/>
      <c r="J1055" s="18"/>
      <c r="K1055" t="str">
        <f t="shared" si="16"/>
        <v>DE20-SDR11</v>
      </c>
      <c r="L1055">
        <f>VLOOKUP(K1055,'[1]Tarif - Evolution Marché'!$F:$L,7,0)</f>
        <v>0.28512559071729954</v>
      </c>
    </row>
    <row r="1056" spans="1:12" x14ac:dyDescent="0.3">
      <c r="A1056" s="8" t="s">
        <v>23</v>
      </c>
      <c r="B1056" s="11">
        <v>25</v>
      </c>
      <c r="C1056" s="11" t="s">
        <v>9</v>
      </c>
      <c r="D1056" s="11">
        <v>16</v>
      </c>
      <c r="E1056" s="21">
        <v>0.42</v>
      </c>
      <c r="F1056" s="11" t="s">
        <v>18</v>
      </c>
      <c r="G1056" s="11" t="s">
        <v>16</v>
      </c>
      <c r="H1056" s="12">
        <v>46630</v>
      </c>
      <c r="I1056" s="12"/>
      <c r="J1056" s="13"/>
      <c r="K1056" t="str">
        <f t="shared" si="16"/>
        <v>DE25-SDR11</v>
      </c>
      <c r="L1056">
        <f>VLOOKUP(K1056,'[1]Tarif - Evolution Marché'!$F:$L,7,0)</f>
        <v>0.41802311181434587</v>
      </c>
    </row>
    <row r="1057" spans="1:12" x14ac:dyDescent="0.3">
      <c r="A1057" s="14" t="s">
        <v>23</v>
      </c>
      <c r="B1057" s="15">
        <v>32</v>
      </c>
      <c r="C1057" s="15" t="s">
        <v>9</v>
      </c>
      <c r="D1057" s="15">
        <v>16</v>
      </c>
      <c r="E1057" s="21">
        <v>0.68</v>
      </c>
      <c r="F1057" s="15" t="s">
        <v>18</v>
      </c>
      <c r="G1057" s="15" t="s">
        <v>16</v>
      </c>
      <c r="H1057" s="17">
        <v>46630</v>
      </c>
      <c r="I1057" s="17"/>
      <c r="J1057" s="18"/>
      <c r="K1057" t="str">
        <f t="shared" si="16"/>
        <v>DE32-SDR11</v>
      </c>
      <c r="L1057">
        <f>VLOOKUP(K1057,'[1]Tarif - Evolution Marché'!$F:$L,7,0)</f>
        <v>0.68140183544303778</v>
      </c>
    </row>
    <row r="1058" spans="1:12" x14ac:dyDescent="0.3">
      <c r="A1058" s="8" t="s">
        <v>23</v>
      </c>
      <c r="B1058" s="11">
        <v>40</v>
      </c>
      <c r="C1058" s="11" t="s">
        <v>9</v>
      </c>
      <c r="D1058" s="11">
        <v>16</v>
      </c>
      <c r="E1058" s="21">
        <v>1.05</v>
      </c>
      <c r="F1058" s="11" t="s">
        <v>18</v>
      </c>
      <c r="G1058" s="11" t="s">
        <v>16</v>
      </c>
      <c r="H1058" s="12">
        <v>46630</v>
      </c>
      <c r="I1058" s="12"/>
      <c r="J1058" s="13"/>
      <c r="K1058" t="str">
        <f t="shared" si="16"/>
        <v>DE40-SDR11</v>
      </c>
      <c r="L1058">
        <f>VLOOKUP(K1058,'[1]Tarif - Evolution Marché'!$F:$L,7,0)</f>
        <v>1.048682257383966</v>
      </c>
    </row>
    <row r="1059" spans="1:12" x14ac:dyDescent="0.3">
      <c r="A1059" s="14" t="s">
        <v>23</v>
      </c>
      <c r="B1059" s="15">
        <v>50</v>
      </c>
      <c r="C1059" s="15" t="s">
        <v>9</v>
      </c>
      <c r="D1059" s="15">
        <v>16</v>
      </c>
      <c r="E1059" s="21">
        <v>1.63</v>
      </c>
      <c r="F1059" s="15" t="s">
        <v>18</v>
      </c>
      <c r="G1059" s="15" t="s">
        <v>16</v>
      </c>
      <c r="H1059" s="17">
        <v>46630</v>
      </c>
      <c r="I1059" s="17"/>
      <c r="J1059" s="18"/>
      <c r="K1059" t="str">
        <f t="shared" si="16"/>
        <v>DE50-SDR11</v>
      </c>
      <c r="L1059">
        <f>VLOOKUP(K1059,'[1]Tarif - Evolution Marché'!$F:$L,7,0)</f>
        <v>1.6261823945147678</v>
      </c>
    </row>
    <row r="1060" spans="1:12" x14ac:dyDescent="0.3">
      <c r="A1060" s="8" t="s">
        <v>23</v>
      </c>
      <c r="B1060" s="11">
        <v>63</v>
      </c>
      <c r="C1060" s="11" t="s">
        <v>9</v>
      </c>
      <c r="D1060" s="11">
        <v>16</v>
      </c>
      <c r="E1060" s="21">
        <v>2.56</v>
      </c>
      <c r="F1060" s="11" t="s">
        <v>18</v>
      </c>
      <c r="G1060" s="11" t="s">
        <v>16</v>
      </c>
      <c r="H1060" s="12">
        <v>46630</v>
      </c>
      <c r="I1060" s="12"/>
      <c r="J1060" s="13"/>
      <c r="K1060" t="str">
        <f t="shared" si="16"/>
        <v>DE63-SDR11</v>
      </c>
      <c r="L1060">
        <f>VLOOKUP(K1060,'[1]Tarif - Evolution Marché'!$F:$L,7,0)</f>
        <v>2.5612976793248943</v>
      </c>
    </row>
    <row r="1061" spans="1:12" x14ac:dyDescent="0.3">
      <c r="A1061" s="14" t="s">
        <v>23</v>
      </c>
      <c r="B1061" s="15">
        <v>75</v>
      </c>
      <c r="C1061" s="15" t="s">
        <v>9</v>
      </c>
      <c r="D1061" s="15">
        <v>16</v>
      </c>
      <c r="E1061" s="21">
        <v>3.58</v>
      </c>
      <c r="F1061" s="15" t="s">
        <v>18</v>
      </c>
      <c r="G1061" s="15" t="s">
        <v>16</v>
      </c>
      <c r="H1061" s="17">
        <v>46630</v>
      </c>
      <c r="I1061" s="17"/>
      <c r="J1061" s="18"/>
      <c r="K1061" t="str">
        <f t="shared" si="16"/>
        <v>DE75-SDR11</v>
      </c>
      <c r="L1061">
        <f>VLOOKUP(K1061,'[1]Tarif - Evolution Marché'!$F:$L,7,0)</f>
        <v>3.5761514767932483</v>
      </c>
    </row>
    <row r="1062" spans="1:12" x14ac:dyDescent="0.3">
      <c r="A1062" s="8" t="s">
        <v>23</v>
      </c>
      <c r="B1062" s="11">
        <v>90</v>
      </c>
      <c r="C1062" s="11" t="s">
        <v>9</v>
      </c>
      <c r="D1062" s="11">
        <v>16</v>
      </c>
      <c r="E1062" s="21">
        <v>5.17</v>
      </c>
      <c r="F1062" s="11" t="s">
        <v>18</v>
      </c>
      <c r="G1062" s="11" t="s">
        <v>16</v>
      </c>
      <c r="H1062" s="12">
        <v>46630</v>
      </c>
      <c r="I1062" s="12"/>
      <c r="J1062" s="13"/>
      <c r="K1062" t="str">
        <f t="shared" si="16"/>
        <v>DE90-SDR11</v>
      </c>
      <c r="L1062">
        <f>VLOOKUP(K1062,'[1]Tarif - Evolution Marché'!$F:$L,7,0)</f>
        <v>5.1709217299578052</v>
      </c>
    </row>
    <row r="1063" spans="1:12" x14ac:dyDescent="0.3">
      <c r="A1063" s="14" t="s">
        <v>23</v>
      </c>
      <c r="B1063" s="15">
        <v>110</v>
      </c>
      <c r="C1063" s="15" t="s">
        <v>9</v>
      </c>
      <c r="D1063" s="15">
        <v>16</v>
      </c>
      <c r="E1063" s="21">
        <v>7.68</v>
      </c>
      <c r="F1063" s="15" t="s">
        <v>18</v>
      </c>
      <c r="G1063" s="15" t="s">
        <v>16</v>
      </c>
      <c r="H1063" s="17">
        <v>46630</v>
      </c>
      <c r="I1063" s="17"/>
      <c r="J1063" s="18"/>
      <c r="K1063" t="str">
        <f t="shared" si="16"/>
        <v>DE110-SDR11</v>
      </c>
      <c r="L1063">
        <f>VLOOKUP(K1063,'[1]Tarif - Evolution Marché'!$F:$L,7,0)</f>
        <v>7.6838930379746824</v>
      </c>
    </row>
    <row r="1064" spans="1:12" x14ac:dyDescent="0.3">
      <c r="A1064" s="8" t="s">
        <v>23</v>
      </c>
      <c r="B1064" s="11">
        <v>125</v>
      </c>
      <c r="C1064" s="11" t="s">
        <v>9</v>
      </c>
      <c r="D1064" s="11">
        <v>16</v>
      </c>
      <c r="E1064" s="21">
        <v>9.9600000000000009</v>
      </c>
      <c r="F1064" s="11" t="s">
        <v>18</v>
      </c>
      <c r="G1064" s="11" t="s">
        <v>16</v>
      </c>
      <c r="H1064" s="12">
        <v>46630</v>
      </c>
      <c r="I1064" s="11">
        <v>2400</v>
      </c>
      <c r="J1064" s="13">
        <v>2800</v>
      </c>
      <c r="K1064" t="str">
        <f t="shared" si="16"/>
        <v>DE125-SDR11</v>
      </c>
      <c r="L1064">
        <f>VLOOKUP(K1064,'[1]Tarif - Evolution Marché'!$F:$L,7,0)</f>
        <v>9.9552324894514754</v>
      </c>
    </row>
    <row r="1065" spans="1:12" x14ac:dyDescent="0.3">
      <c r="A1065" s="14" t="s">
        <v>23</v>
      </c>
      <c r="B1065" s="15">
        <v>140</v>
      </c>
      <c r="C1065" s="15" t="s">
        <v>9</v>
      </c>
      <c r="D1065" s="15">
        <v>16</v>
      </c>
      <c r="E1065" s="21">
        <v>12.4</v>
      </c>
      <c r="F1065" s="15" t="s">
        <v>18</v>
      </c>
      <c r="G1065" s="15" t="s">
        <v>16</v>
      </c>
      <c r="H1065" s="17">
        <v>46630</v>
      </c>
      <c r="I1065" s="15">
        <v>1920</v>
      </c>
      <c r="J1065" s="18">
        <v>2240</v>
      </c>
      <c r="K1065" t="str">
        <f t="shared" si="16"/>
        <v>DE140-SDR11</v>
      </c>
      <c r="L1065">
        <f>VLOOKUP(K1065,'[1]Tarif - Evolution Marché'!$F:$L,7,0)</f>
        <v>12.395714240506326</v>
      </c>
    </row>
    <row r="1066" spans="1:12" x14ac:dyDescent="0.3">
      <c r="A1066" s="8" t="s">
        <v>23</v>
      </c>
      <c r="B1066" s="11">
        <v>160</v>
      </c>
      <c r="C1066" s="11" t="s">
        <v>9</v>
      </c>
      <c r="D1066" s="11">
        <v>16</v>
      </c>
      <c r="E1066" s="21">
        <v>16.29</v>
      </c>
      <c r="F1066" s="11" t="s">
        <v>18</v>
      </c>
      <c r="G1066" s="11" t="s">
        <v>16</v>
      </c>
      <c r="H1066" s="12">
        <v>46630</v>
      </c>
      <c r="I1066" s="11">
        <v>1920</v>
      </c>
      <c r="J1066" s="13">
        <v>2240</v>
      </c>
      <c r="K1066" t="str">
        <f t="shared" si="16"/>
        <v>DE160-SDR11</v>
      </c>
      <c r="L1066">
        <f>VLOOKUP(K1066,'[1]Tarif - Evolution Marché'!$F:$L,7,0)</f>
        <v>16.285987130801686</v>
      </c>
    </row>
    <row r="1067" spans="1:12" x14ac:dyDescent="0.3">
      <c r="A1067" s="14" t="s">
        <v>23</v>
      </c>
      <c r="B1067" s="15">
        <v>180</v>
      </c>
      <c r="C1067" s="15" t="s">
        <v>9</v>
      </c>
      <c r="D1067" s="15">
        <v>16</v>
      </c>
      <c r="E1067" s="21">
        <v>20.56</v>
      </c>
      <c r="F1067" s="15" t="s">
        <v>18</v>
      </c>
      <c r="G1067" s="15" t="s">
        <v>16</v>
      </c>
      <c r="H1067" s="17">
        <v>46630</v>
      </c>
      <c r="I1067" s="15">
        <v>1200</v>
      </c>
      <c r="J1067" s="18">
        <v>1400</v>
      </c>
      <c r="K1067" t="str">
        <f t="shared" si="16"/>
        <v>DE180-SDR11</v>
      </c>
      <c r="L1067">
        <f>VLOOKUP(K1067,'[1]Tarif - Evolution Marché'!$F:$L,7,0)</f>
        <v>20.562870991561176</v>
      </c>
    </row>
    <row r="1068" spans="1:12" x14ac:dyDescent="0.3">
      <c r="A1068" s="8" t="s">
        <v>23</v>
      </c>
      <c r="B1068" s="11">
        <v>200</v>
      </c>
      <c r="C1068" s="11" t="s">
        <v>9</v>
      </c>
      <c r="D1068" s="11">
        <v>16</v>
      </c>
      <c r="E1068" s="21">
        <v>25.37</v>
      </c>
      <c r="F1068" s="11" t="s">
        <v>18</v>
      </c>
      <c r="G1068" s="11" t="s">
        <v>16</v>
      </c>
      <c r="H1068" s="12">
        <v>46630</v>
      </c>
      <c r="I1068" s="11">
        <v>960</v>
      </c>
      <c r="J1068" s="13">
        <v>1120</v>
      </c>
      <c r="K1068" t="str">
        <f t="shared" si="16"/>
        <v>DE200-SDR11</v>
      </c>
      <c r="L1068">
        <f>VLOOKUP(K1068,'[1]Tarif - Evolution Marché'!$F:$L,7,0)</f>
        <v>25.371344936708855</v>
      </c>
    </row>
    <row r="1069" spans="1:12" x14ac:dyDescent="0.3">
      <c r="A1069" s="14" t="s">
        <v>23</v>
      </c>
      <c r="B1069" s="15">
        <v>225</v>
      </c>
      <c r="C1069" s="15" t="s">
        <v>9</v>
      </c>
      <c r="D1069" s="15">
        <v>16</v>
      </c>
      <c r="E1069" s="21">
        <v>32.14</v>
      </c>
      <c r="F1069" s="15" t="s">
        <v>18</v>
      </c>
      <c r="G1069" s="15" t="s">
        <v>16</v>
      </c>
      <c r="H1069" s="17">
        <v>46630</v>
      </c>
      <c r="I1069" s="15">
        <v>960</v>
      </c>
      <c r="J1069" s="18">
        <v>1120</v>
      </c>
      <c r="K1069" t="str">
        <f t="shared" si="16"/>
        <v>DE225-SDR11</v>
      </c>
      <c r="L1069">
        <f>VLOOKUP(K1069,'[1]Tarif - Evolution Marché'!$F:$L,7,0)</f>
        <v>32.137036919831218</v>
      </c>
    </row>
    <row r="1070" spans="1:12" x14ac:dyDescent="0.3">
      <c r="A1070" s="8" t="s">
        <v>23</v>
      </c>
      <c r="B1070" s="11">
        <v>250</v>
      </c>
      <c r="C1070" s="11" t="s">
        <v>9</v>
      </c>
      <c r="D1070" s="11">
        <v>16</v>
      </c>
      <c r="E1070" s="21">
        <v>39.39</v>
      </c>
      <c r="F1070" s="11" t="s">
        <v>18</v>
      </c>
      <c r="G1070" s="11" t="s">
        <v>16</v>
      </c>
      <c r="H1070" s="12">
        <v>46630</v>
      </c>
      <c r="I1070" s="11">
        <v>672</v>
      </c>
      <c r="J1070" s="13">
        <v>784</v>
      </c>
      <c r="K1070" t="str">
        <f t="shared" si="16"/>
        <v>DE250-SDR11</v>
      </c>
      <c r="L1070">
        <f>VLOOKUP(K1070,'[1]Tarif - Evolution Marché'!$F:$L,7,0)</f>
        <v>39.385992616033747</v>
      </c>
    </row>
    <row r="1071" spans="1:12" x14ac:dyDescent="0.3">
      <c r="A1071" s="14" t="s">
        <v>23</v>
      </c>
      <c r="B1071" s="15">
        <v>280</v>
      </c>
      <c r="C1071" s="15" t="s">
        <v>9</v>
      </c>
      <c r="D1071" s="15">
        <v>16</v>
      </c>
      <c r="E1071" s="21">
        <v>49.53</v>
      </c>
      <c r="F1071" s="15" t="s">
        <v>18</v>
      </c>
      <c r="G1071" s="15" t="s">
        <v>16</v>
      </c>
      <c r="H1071" s="17">
        <v>46630</v>
      </c>
      <c r="I1071" s="15">
        <v>672</v>
      </c>
      <c r="J1071" s="18">
        <v>784</v>
      </c>
      <c r="K1071" t="str">
        <f t="shared" si="16"/>
        <v>DE280-SDR11</v>
      </c>
      <c r="L1071">
        <f>VLOOKUP(K1071,'[1]Tarif - Evolution Marché'!$F:$L,7,0)</f>
        <v>49.534530590717289</v>
      </c>
    </row>
    <row r="1072" spans="1:12" x14ac:dyDescent="0.3">
      <c r="A1072" s="8" t="s">
        <v>23</v>
      </c>
      <c r="B1072" s="11">
        <v>315</v>
      </c>
      <c r="C1072" s="11" t="s">
        <v>9</v>
      </c>
      <c r="D1072" s="11">
        <v>16</v>
      </c>
      <c r="E1072" s="21">
        <v>62.58</v>
      </c>
      <c r="F1072" s="11" t="s">
        <v>18</v>
      </c>
      <c r="G1072" s="11" t="s">
        <v>16</v>
      </c>
      <c r="H1072" s="12">
        <v>46630</v>
      </c>
      <c r="I1072" s="11">
        <v>432</v>
      </c>
      <c r="J1072" s="13">
        <v>504</v>
      </c>
      <c r="K1072" t="str">
        <f t="shared" si="16"/>
        <v>DE315-SDR11</v>
      </c>
      <c r="L1072">
        <f>VLOOKUP(K1072,'[1]Tarif - Evolution Marché'!$F:$L,7,0)</f>
        <v>62.582650843881844</v>
      </c>
    </row>
    <row r="1073" spans="1:12" x14ac:dyDescent="0.3">
      <c r="A1073" s="14" t="s">
        <v>23</v>
      </c>
      <c r="B1073" s="15">
        <v>355</v>
      </c>
      <c r="C1073" s="15" t="s">
        <v>9</v>
      </c>
      <c r="D1073" s="15">
        <v>16</v>
      </c>
      <c r="E1073" s="21">
        <v>79.5</v>
      </c>
      <c r="F1073" s="15" t="s">
        <v>18</v>
      </c>
      <c r="G1073" s="15" t="s">
        <v>16</v>
      </c>
      <c r="H1073" s="17">
        <v>46630</v>
      </c>
      <c r="I1073" s="15">
        <v>360</v>
      </c>
      <c r="J1073" s="18">
        <v>420</v>
      </c>
      <c r="K1073" t="str">
        <f t="shared" si="16"/>
        <v>DE355-SDR11</v>
      </c>
      <c r="L1073">
        <f>VLOOKUP(K1073,'[1]Tarif - Evolution Marché'!$F:$L,7,0)</f>
        <v>79.496880801687752</v>
      </c>
    </row>
    <row r="1074" spans="1:12" x14ac:dyDescent="0.3">
      <c r="A1074" s="8" t="s">
        <v>23</v>
      </c>
      <c r="B1074" s="11">
        <v>400</v>
      </c>
      <c r="C1074" s="11" t="s">
        <v>9</v>
      </c>
      <c r="D1074" s="11">
        <v>16</v>
      </c>
      <c r="E1074" s="21">
        <v>100.76</v>
      </c>
      <c r="F1074" s="11" t="s">
        <v>18</v>
      </c>
      <c r="G1074" s="11" t="s">
        <v>16</v>
      </c>
      <c r="H1074" s="12">
        <v>46630</v>
      </c>
      <c r="I1074" s="11">
        <v>360</v>
      </c>
      <c r="J1074" s="13">
        <v>420</v>
      </c>
      <c r="K1074" t="str">
        <f t="shared" si="16"/>
        <v>DE400-SDR11</v>
      </c>
      <c r="L1074">
        <f>VLOOKUP(K1074,'[1]Tarif - Evolution Marché'!$F:$L,7,0)</f>
        <v>100.76048417721518</v>
      </c>
    </row>
    <row r="1075" spans="1:12" x14ac:dyDescent="0.3">
      <c r="A1075" s="14" t="s">
        <v>23</v>
      </c>
      <c r="B1075" s="15">
        <v>450</v>
      </c>
      <c r="C1075" s="15" t="s">
        <v>9</v>
      </c>
      <c r="D1075" s="15">
        <v>16</v>
      </c>
      <c r="E1075" s="21">
        <v>127.58</v>
      </c>
      <c r="F1075" s="15" t="s">
        <v>18</v>
      </c>
      <c r="G1075" s="15" t="s">
        <v>16</v>
      </c>
      <c r="H1075" s="17">
        <v>46630</v>
      </c>
      <c r="I1075" s="15">
        <v>192</v>
      </c>
      <c r="J1075" s="18">
        <v>224</v>
      </c>
      <c r="K1075" t="str">
        <f t="shared" si="16"/>
        <v>DE450-SDR11</v>
      </c>
      <c r="L1075">
        <f>VLOOKUP(K1075,'[1]Tarif - Evolution Marché'!$F:$L,7,0)</f>
        <v>127.58162025316453</v>
      </c>
    </row>
    <row r="1076" spans="1:12" x14ac:dyDescent="0.3">
      <c r="A1076" s="8" t="s">
        <v>23</v>
      </c>
      <c r="B1076" s="11">
        <v>500</v>
      </c>
      <c r="C1076" s="11" t="s">
        <v>9</v>
      </c>
      <c r="D1076" s="11">
        <v>16</v>
      </c>
      <c r="E1076" s="21">
        <v>157.54</v>
      </c>
      <c r="F1076" s="11" t="s">
        <v>18</v>
      </c>
      <c r="G1076" s="11" t="s">
        <v>16</v>
      </c>
      <c r="H1076" s="12">
        <v>46630</v>
      </c>
      <c r="I1076" s="11">
        <v>192</v>
      </c>
      <c r="J1076" s="13">
        <v>224</v>
      </c>
      <c r="K1076" t="str">
        <f t="shared" si="16"/>
        <v>DE500-SDR11</v>
      </c>
      <c r="L1076">
        <f>VLOOKUP(K1076,'[1]Tarif - Evolution Marché'!$F:$L,7,0)</f>
        <v>157.54397046413499</v>
      </c>
    </row>
    <row r="1077" spans="1:12" x14ac:dyDescent="0.3">
      <c r="A1077" s="14" t="s">
        <v>23</v>
      </c>
      <c r="B1077" s="15">
        <v>560</v>
      </c>
      <c r="C1077" s="15" t="s">
        <v>9</v>
      </c>
      <c r="D1077" s="15">
        <v>16</v>
      </c>
      <c r="E1077" s="21">
        <v>197.41</v>
      </c>
      <c r="F1077" s="15" t="s">
        <v>18</v>
      </c>
      <c r="G1077" s="15" t="s">
        <v>16</v>
      </c>
      <c r="H1077" s="17">
        <v>46630</v>
      </c>
      <c r="I1077" s="15">
        <v>192</v>
      </c>
      <c r="J1077" s="18">
        <v>224</v>
      </c>
      <c r="K1077" t="str">
        <f t="shared" si="16"/>
        <v>DE560-SDR11</v>
      </c>
      <c r="L1077">
        <f>VLOOKUP(K1077,'[1]Tarif - Evolution Marché'!$F:$L,7,0)</f>
        <v>197.41322679324892</v>
      </c>
    </row>
    <row r="1078" spans="1:12" x14ac:dyDescent="0.3">
      <c r="A1078" s="8" t="s">
        <v>23</v>
      </c>
      <c r="B1078" s="11">
        <v>630</v>
      </c>
      <c r="C1078" s="11" t="s">
        <v>9</v>
      </c>
      <c r="D1078" s="11">
        <v>16</v>
      </c>
      <c r="E1078" s="21">
        <v>248.88</v>
      </c>
      <c r="F1078" s="11" t="s">
        <v>18</v>
      </c>
      <c r="G1078" s="11" t="s">
        <v>16</v>
      </c>
      <c r="H1078" s="12">
        <v>46630</v>
      </c>
      <c r="I1078" s="11">
        <v>108</v>
      </c>
      <c r="J1078" s="13">
        <v>126</v>
      </c>
      <c r="K1078" t="str">
        <f t="shared" si="16"/>
        <v>DE630-SDR11</v>
      </c>
      <c r="L1078">
        <f>VLOOKUP(K1078,'[1]Tarif - Evolution Marché'!$F:$L,7,0)</f>
        <v>248.88081223628689</v>
      </c>
    </row>
    <row r="1079" spans="1:12" x14ac:dyDescent="0.3">
      <c r="A1079" s="14" t="s">
        <v>23</v>
      </c>
      <c r="B1079" s="15">
        <v>710</v>
      </c>
      <c r="C1079" s="15" t="s">
        <v>9</v>
      </c>
      <c r="D1079" s="15">
        <v>16</v>
      </c>
      <c r="E1079" s="21">
        <v>316.54000000000002</v>
      </c>
      <c r="F1079" s="15" t="s">
        <v>18</v>
      </c>
      <c r="G1079" s="15" t="s">
        <v>16</v>
      </c>
      <c r="H1079" s="17">
        <v>46630</v>
      </c>
      <c r="I1079" s="15">
        <v>108</v>
      </c>
      <c r="J1079" s="18">
        <v>126</v>
      </c>
      <c r="K1079" t="str">
        <f t="shared" si="16"/>
        <v>DE710-SDR11</v>
      </c>
      <c r="L1079">
        <f>VLOOKUP(K1079,'[1]Tarif - Evolution Marché'!$F:$L,7,0)</f>
        <v>316.53773206751049</v>
      </c>
    </row>
    <row r="1080" spans="1:12" x14ac:dyDescent="0.3">
      <c r="A1080" s="8" t="s">
        <v>23</v>
      </c>
      <c r="B1080" s="11">
        <v>16</v>
      </c>
      <c r="C1080" s="11" t="s">
        <v>10</v>
      </c>
      <c r="D1080" s="11">
        <v>20</v>
      </c>
      <c r="E1080" s="21">
        <v>0.22</v>
      </c>
      <c r="F1080" s="11" t="s">
        <v>18</v>
      </c>
      <c r="G1080" s="11" t="s">
        <v>16</v>
      </c>
      <c r="H1080" s="12">
        <v>46630</v>
      </c>
      <c r="I1080" s="12"/>
      <c r="J1080" s="13"/>
      <c r="K1080" t="str">
        <f t="shared" si="16"/>
        <v>DE16-SDR9</v>
      </c>
      <c r="L1080">
        <f>VLOOKUP(K1080,'[1]Tarif - Evolution Marché'!$F:$L,7,0)</f>
        <v>0.22230130801687759</v>
      </c>
    </row>
    <row r="1081" spans="1:12" x14ac:dyDescent="0.3">
      <c r="A1081" s="14" t="s">
        <v>23</v>
      </c>
      <c r="B1081" s="15">
        <v>20</v>
      </c>
      <c r="C1081" s="15" t="s">
        <v>10</v>
      </c>
      <c r="D1081" s="15">
        <v>20</v>
      </c>
      <c r="E1081" s="21">
        <v>0.32</v>
      </c>
      <c r="F1081" s="15" t="s">
        <v>18</v>
      </c>
      <c r="G1081" s="15" t="s">
        <v>16</v>
      </c>
      <c r="H1081" s="17">
        <v>46630</v>
      </c>
      <c r="I1081" s="17"/>
      <c r="J1081" s="18"/>
      <c r="K1081" t="str">
        <f t="shared" si="16"/>
        <v>DE20-SDR9</v>
      </c>
      <c r="L1081">
        <f>VLOOKUP(K1081,'[1]Tarif - Evolution Marché'!$F:$L,7,0)</f>
        <v>0.32378668776371305</v>
      </c>
    </row>
    <row r="1082" spans="1:12" x14ac:dyDescent="0.3">
      <c r="A1082" s="8" t="s">
        <v>23</v>
      </c>
      <c r="B1082" s="11">
        <v>25</v>
      </c>
      <c r="C1082" s="11" t="s">
        <v>10</v>
      </c>
      <c r="D1082" s="11">
        <v>20</v>
      </c>
      <c r="E1082" s="21">
        <v>0.49</v>
      </c>
      <c r="F1082" s="11" t="s">
        <v>18</v>
      </c>
      <c r="G1082" s="11" t="s">
        <v>16</v>
      </c>
      <c r="H1082" s="12">
        <v>46630</v>
      </c>
      <c r="I1082" s="12"/>
      <c r="J1082" s="13"/>
      <c r="K1082" t="str">
        <f t="shared" si="16"/>
        <v>DE25-SDR9</v>
      </c>
      <c r="L1082">
        <f>VLOOKUP(K1082,'[1]Tarif - Evolution Marché'!$F:$L,7,0)</f>
        <v>0.48809635021097042</v>
      </c>
    </row>
    <row r="1083" spans="1:12" x14ac:dyDescent="0.3">
      <c r="A1083" s="14" t="s">
        <v>23</v>
      </c>
      <c r="B1083" s="15">
        <v>32</v>
      </c>
      <c r="C1083" s="15" t="s">
        <v>10</v>
      </c>
      <c r="D1083" s="15">
        <v>20</v>
      </c>
      <c r="E1083" s="21">
        <v>0.8</v>
      </c>
      <c r="F1083" s="15" t="s">
        <v>18</v>
      </c>
      <c r="G1083" s="15" t="s">
        <v>16</v>
      </c>
      <c r="H1083" s="17">
        <v>46630</v>
      </c>
      <c r="I1083" s="17"/>
      <c r="J1083" s="18"/>
      <c r="K1083" t="str">
        <f t="shared" si="16"/>
        <v>DE32-SDR9</v>
      </c>
      <c r="L1083">
        <f>VLOOKUP(K1083,'[1]Tarif - Evolution Marché'!$F:$L,7,0)</f>
        <v>0.79980144514767926</v>
      </c>
    </row>
    <row r="1084" spans="1:12" x14ac:dyDescent="0.3">
      <c r="A1084" s="8" t="s">
        <v>23</v>
      </c>
      <c r="B1084" s="11">
        <v>40</v>
      </c>
      <c r="C1084" s="11" t="s">
        <v>10</v>
      </c>
      <c r="D1084" s="11">
        <v>20</v>
      </c>
      <c r="E1084" s="21">
        <v>1.24</v>
      </c>
      <c r="F1084" s="11" t="s">
        <v>18</v>
      </c>
      <c r="G1084" s="11" t="s">
        <v>16</v>
      </c>
      <c r="H1084" s="12">
        <v>46630</v>
      </c>
      <c r="I1084" s="12"/>
      <c r="J1084" s="13"/>
      <c r="K1084" t="str">
        <f t="shared" si="16"/>
        <v>DE40-SDR9</v>
      </c>
      <c r="L1084">
        <f>VLOOKUP(K1084,'[1]Tarif - Evolution Marché'!$F:$L,7,0)</f>
        <v>1.2419877426160335</v>
      </c>
    </row>
    <row r="1085" spans="1:12" x14ac:dyDescent="0.3">
      <c r="A1085" s="14" t="s">
        <v>23</v>
      </c>
      <c r="B1085" s="15">
        <v>50</v>
      </c>
      <c r="C1085" s="15" t="s">
        <v>10</v>
      </c>
      <c r="D1085" s="15">
        <v>20</v>
      </c>
      <c r="E1085" s="21">
        <v>1.92</v>
      </c>
      <c r="F1085" s="15" t="s">
        <v>18</v>
      </c>
      <c r="G1085" s="15" t="s">
        <v>16</v>
      </c>
      <c r="H1085" s="17">
        <v>46630</v>
      </c>
      <c r="I1085" s="17"/>
      <c r="J1085" s="18"/>
      <c r="K1085" t="str">
        <f t="shared" si="16"/>
        <v>DE50-SDR9</v>
      </c>
      <c r="L1085">
        <f>VLOOKUP(K1085,'[1]Tarif - Evolution Marché'!$F:$L,7,0)</f>
        <v>1.9233895780590715</v>
      </c>
    </row>
    <row r="1086" spans="1:12" x14ac:dyDescent="0.3">
      <c r="A1086" s="8" t="s">
        <v>23</v>
      </c>
      <c r="B1086" s="11">
        <v>63</v>
      </c>
      <c r="C1086" s="11" t="s">
        <v>10</v>
      </c>
      <c r="D1086" s="11">
        <v>20</v>
      </c>
      <c r="E1086" s="21">
        <v>3.07</v>
      </c>
      <c r="F1086" s="11" t="s">
        <v>18</v>
      </c>
      <c r="G1086" s="11" t="s">
        <v>16</v>
      </c>
      <c r="H1086" s="12">
        <v>46630</v>
      </c>
      <c r="I1086" s="12"/>
      <c r="J1086" s="13"/>
      <c r="K1086" t="str">
        <f t="shared" si="16"/>
        <v>DE63-SDR9</v>
      </c>
      <c r="L1086">
        <f>VLOOKUP(K1086,'[1]Tarif - Evolution Marché'!$F:$L,7,0)</f>
        <v>3.0687245780590713</v>
      </c>
    </row>
    <row r="1087" spans="1:12" x14ac:dyDescent="0.3">
      <c r="A1087" s="14" t="s">
        <v>23</v>
      </c>
      <c r="B1087" s="15">
        <v>75</v>
      </c>
      <c r="C1087" s="15" t="s">
        <v>10</v>
      </c>
      <c r="D1087" s="15">
        <v>20</v>
      </c>
      <c r="E1087" s="21">
        <v>4.3</v>
      </c>
      <c r="F1087" s="15" t="s">
        <v>18</v>
      </c>
      <c r="G1087" s="15" t="s">
        <v>16</v>
      </c>
      <c r="H1087" s="17">
        <v>46630</v>
      </c>
      <c r="I1087" s="17"/>
      <c r="J1087" s="18"/>
      <c r="K1087" t="str">
        <f t="shared" si="16"/>
        <v>DE75-SDR9</v>
      </c>
      <c r="L1087">
        <f>VLOOKUP(K1087,'[1]Tarif - Evolution Marché'!$F:$L,7,0)</f>
        <v>4.3010470464135011</v>
      </c>
    </row>
    <row r="1088" spans="1:12" x14ac:dyDescent="0.3">
      <c r="A1088" s="8" t="s">
        <v>23</v>
      </c>
      <c r="B1088" s="11">
        <v>90</v>
      </c>
      <c r="C1088" s="11" t="s">
        <v>10</v>
      </c>
      <c r="D1088" s="11">
        <v>20</v>
      </c>
      <c r="E1088" s="21">
        <v>6.21</v>
      </c>
      <c r="F1088" s="11" t="s">
        <v>18</v>
      </c>
      <c r="G1088" s="11" t="s">
        <v>16</v>
      </c>
      <c r="H1088" s="12">
        <v>46630</v>
      </c>
      <c r="I1088" s="12"/>
      <c r="J1088" s="13"/>
      <c r="K1088" t="str">
        <f t="shared" si="16"/>
        <v>DE90-SDR9</v>
      </c>
      <c r="L1088">
        <f>VLOOKUP(K1088,'[1]Tarif - Evolution Marché'!$F:$L,7,0)</f>
        <v>6.2099387130801675</v>
      </c>
    </row>
    <row r="1089" spans="1:12" x14ac:dyDescent="0.3">
      <c r="A1089" s="14" t="s">
        <v>23</v>
      </c>
      <c r="B1089" s="15">
        <v>110</v>
      </c>
      <c r="C1089" s="15" t="s">
        <v>10</v>
      </c>
      <c r="D1089" s="15">
        <v>20</v>
      </c>
      <c r="E1089" s="21">
        <v>9.23</v>
      </c>
      <c r="F1089" s="15" t="s">
        <v>18</v>
      </c>
      <c r="G1089" s="15" t="s">
        <v>16</v>
      </c>
      <c r="H1089" s="17">
        <v>46630</v>
      </c>
      <c r="I1089" s="17"/>
      <c r="J1089" s="18"/>
      <c r="K1089" t="str">
        <f t="shared" si="16"/>
        <v>DE110-SDR9</v>
      </c>
      <c r="L1089">
        <f>VLOOKUP(K1089,'[1]Tarif - Evolution Marché'!$F:$L,7,0)</f>
        <v>9.2303369198312222</v>
      </c>
    </row>
    <row r="1090" spans="1:12" x14ac:dyDescent="0.3">
      <c r="A1090" s="8" t="s">
        <v>23</v>
      </c>
      <c r="B1090" s="11">
        <v>125</v>
      </c>
      <c r="C1090" s="11" t="s">
        <v>10</v>
      </c>
      <c r="D1090" s="11">
        <v>20</v>
      </c>
      <c r="E1090" s="21">
        <v>11.89</v>
      </c>
      <c r="F1090" s="11" t="s">
        <v>18</v>
      </c>
      <c r="G1090" s="11" t="s">
        <v>16</v>
      </c>
      <c r="H1090" s="12">
        <v>46630</v>
      </c>
      <c r="I1090" s="11">
        <v>2400</v>
      </c>
      <c r="J1090" s="13">
        <v>2800</v>
      </c>
      <c r="K1090" t="str">
        <f t="shared" si="16"/>
        <v>DE125-SDR9</v>
      </c>
      <c r="L1090">
        <f>VLOOKUP(K1090,'[1]Tarif - Evolution Marché'!$F:$L,7,0)</f>
        <v>11.88828734177215</v>
      </c>
    </row>
    <row r="1091" spans="1:12" x14ac:dyDescent="0.3">
      <c r="A1091" s="14" t="s">
        <v>23</v>
      </c>
      <c r="B1091" s="15">
        <v>140</v>
      </c>
      <c r="C1091" s="15" t="s">
        <v>10</v>
      </c>
      <c r="D1091" s="15">
        <v>20</v>
      </c>
      <c r="E1091" s="21">
        <v>14.93</v>
      </c>
      <c r="F1091" s="15" t="s">
        <v>18</v>
      </c>
      <c r="G1091" s="15" t="s">
        <v>16</v>
      </c>
      <c r="H1091" s="17">
        <v>46630</v>
      </c>
      <c r="I1091" s="15">
        <v>1920</v>
      </c>
      <c r="J1091" s="18">
        <v>2240</v>
      </c>
      <c r="K1091" t="str">
        <f t="shared" ref="K1091:K1154" si="17">CONCATENATE("DE",B1091,"-",C1091)</f>
        <v>DE140-SDR9</v>
      </c>
      <c r="L1091">
        <f>VLOOKUP(K1091,'[1]Tarif - Evolution Marché'!$F:$L,7,0)</f>
        <v>14.932848734177211</v>
      </c>
    </row>
    <row r="1092" spans="1:12" x14ac:dyDescent="0.3">
      <c r="A1092" s="8" t="s">
        <v>23</v>
      </c>
      <c r="B1092" s="11">
        <v>160</v>
      </c>
      <c r="C1092" s="11" t="s">
        <v>10</v>
      </c>
      <c r="D1092" s="11">
        <v>20</v>
      </c>
      <c r="E1092" s="21">
        <v>19.43</v>
      </c>
      <c r="F1092" s="11" t="s">
        <v>18</v>
      </c>
      <c r="G1092" s="11" t="s">
        <v>16</v>
      </c>
      <c r="H1092" s="12">
        <v>46630</v>
      </c>
      <c r="I1092" s="11">
        <v>1920</v>
      </c>
      <c r="J1092" s="13">
        <v>2240</v>
      </c>
      <c r="K1092" t="str">
        <f t="shared" si="17"/>
        <v>DE160-SDR9</v>
      </c>
      <c r="L1092">
        <f>VLOOKUP(K1092,'[1]Tarif - Evolution Marché'!$F:$L,7,0)</f>
        <v>19.427201265822781</v>
      </c>
    </row>
    <row r="1093" spans="1:12" x14ac:dyDescent="0.3">
      <c r="A1093" s="14" t="s">
        <v>23</v>
      </c>
      <c r="B1093" s="15">
        <v>180</v>
      </c>
      <c r="C1093" s="15" t="s">
        <v>10</v>
      </c>
      <c r="D1093" s="15">
        <v>20</v>
      </c>
      <c r="E1093" s="21">
        <v>24.65</v>
      </c>
      <c r="F1093" s="15" t="s">
        <v>18</v>
      </c>
      <c r="G1093" s="15" t="s">
        <v>16</v>
      </c>
      <c r="H1093" s="17">
        <v>46630</v>
      </c>
      <c r="I1093" s="15">
        <v>1200</v>
      </c>
      <c r="J1093" s="18">
        <v>1400</v>
      </c>
      <c r="K1093" t="str">
        <f t="shared" si="17"/>
        <v>DE180-SDR9</v>
      </c>
      <c r="L1093">
        <f>VLOOKUP(K1093,'[1]Tarif - Evolution Marché'!$F:$L,7,0)</f>
        <v>24.6464493670886</v>
      </c>
    </row>
    <row r="1094" spans="1:12" x14ac:dyDescent="0.3">
      <c r="A1094" s="8" t="s">
        <v>23</v>
      </c>
      <c r="B1094" s="11">
        <v>200</v>
      </c>
      <c r="C1094" s="11" t="s">
        <v>10</v>
      </c>
      <c r="D1094" s="11">
        <v>20</v>
      </c>
      <c r="E1094" s="21">
        <v>30.45</v>
      </c>
      <c r="F1094" s="11" t="s">
        <v>18</v>
      </c>
      <c r="G1094" s="11" t="s">
        <v>16</v>
      </c>
      <c r="H1094" s="12">
        <v>46630</v>
      </c>
      <c r="I1094" s="11">
        <v>960</v>
      </c>
      <c r="J1094" s="13">
        <v>1120</v>
      </c>
      <c r="K1094" t="str">
        <f t="shared" si="17"/>
        <v>DE200-SDR9</v>
      </c>
      <c r="L1094">
        <f>VLOOKUP(K1094,'[1]Tarif - Evolution Marché'!$F:$L,7,0)</f>
        <v>30.445613924050626</v>
      </c>
    </row>
    <row r="1095" spans="1:12" x14ac:dyDescent="0.3">
      <c r="A1095" s="14" t="s">
        <v>23</v>
      </c>
      <c r="B1095" s="15">
        <v>225</v>
      </c>
      <c r="C1095" s="15" t="s">
        <v>10</v>
      </c>
      <c r="D1095" s="15">
        <v>20</v>
      </c>
      <c r="E1095" s="21">
        <v>38.42</v>
      </c>
      <c r="F1095" s="15" t="s">
        <v>18</v>
      </c>
      <c r="G1095" s="15" t="s">
        <v>16</v>
      </c>
      <c r="H1095" s="17">
        <v>46630</v>
      </c>
      <c r="I1095" s="15">
        <v>960</v>
      </c>
      <c r="J1095" s="18">
        <v>1120</v>
      </c>
      <c r="K1095" t="str">
        <f t="shared" si="17"/>
        <v>DE225-SDR9</v>
      </c>
      <c r="L1095">
        <f>VLOOKUP(K1095,'[1]Tarif - Evolution Marché'!$F:$L,7,0)</f>
        <v>38.419465189873414</v>
      </c>
    </row>
    <row r="1096" spans="1:12" x14ac:dyDescent="0.3">
      <c r="A1096" s="8" t="s">
        <v>23</v>
      </c>
      <c r="B1096" s="11">
        <v>250</v>
      </c>
      <c r="C1096" s="11" t="s">
        <v>10</v>
      </c>
      <c r="D1096" s="11">
        <v>20</v>
      </c>
      <c r="E1096" s="21">
        <v>47.36</v>
      </c>
      <c r="F1096" s="11" t="s">
        <v>18</v>
      </c>
      <c r="G1096" s="11" t="s">
        <v>16</v>
      </c>
      <c r="H1096" s="12">
        <v>46630</v>
      </c>
      <c r="I1096" s="11">
        <v>672</v>
      </c>
      <c r="J1096" s="13">
        <v>784</v>
      </c>
      <c r="K1096" t="str">
        <f t="shared" si="17"/>
        <v>DE250-SDR9</v>
      </c>
      <c r="L1096">
        <f>VLOOKUP(K1096,'[1]Tarif - Evolution Marché'!$F:$L,7,0)</f>
        <v>47.359843881856534</v>
      </c>
    </row>
    <row r="1097" spans="1:12" x14ac:dyDescent="0.3">
      <c r="A1097" s="14" t="s">
        <v>23</v>
      </c>
      <c r="B1097" s="15">
        <v>280</v>
      </c>
      <c r="C1097" s="15" t="s">
        <v>10</v>
      </c>
      <c r="D1097" s="15">
        <v>20</v>
      </c>
      <c r="E1097" s="21">
        <v>59.44</v>
      </c>
      <c r="F1097" s="15" t="s">
        <v>18</v>
      </c>
      <c r="G1097" s="15" t="s">
        <v>16</v>
      </c>
      <c r="H1097" s="17">
        <v>46630</v>
      </c>
      <c r="I1097" s="15">
        <v>672</v>
      </c>
      <c r="J1097" s="18">
        <v>784</v>
      </c>
      <c r="K1097" t="str">
        <f t="shared" si="17"/>
        <v>DE280-SDR9</v>
      </c>
      <c r="L1097">
        <f>VLOOKUP(K1097,'[1]Tarif - Evolution Marché'!$F:$L,7,0)</f>
        <v>59.441436708860749</v>
      </c>
    </row>
    <row r="1098" spans="1:12" x14ac:dyDescent="0.3">
      <c r="A1098" s="8" t="s">
        <v>23</v>
      </c>
      <c r="B1098" s="11">
        <v>315</v>
      </c>
      <c r="C1098" s="11" t="s">
        <v>10</v>
      </c>
      <c r="D1098" s="11">
        <v>20</v>
      </c>
      <c r="E1098" s="21">
        <v>75.150000000000006</v>
      </c>
      <c r="F1098" s="11" t="s">
        <v>18</v>
      </c>
      <c r="G1098" s="11" t="s">
        <v>16</v>
      </c>
      <c r="H1098" s="12">
        <v>46630</v>
      </c>
      <c r="I1098" s="11">
        <v>432</v>
      </c>
      <c r="J1098" s="13">
        <v>504</v>
      </c>
      <c r="K1098" t="str">
        <f t="shared" si="17"/>
        <v>DE315-SDR9</v>
      </c>
      <c r="L1098">
        <f>VLOOKUP(K1098,'[1]Tarif - Evolution Marché'!$F:$L,7,0)</f>
        <v>75.147507383966229</v>
      </c>
    </row>
    <row r="1099" spans="1:12" x14ac:dyDescent="0.3">
      <c r="A1099" s="14" t="s">
        <v>23</v>
      </c>
      <c r="B1099" s="15">
        <v>355</v>
      </c>
      <c r="C1099" s="15" t="s">
        <v>10</v>
      </c>
      <c r="D1099" s="15">
        <v>20</v>
      </c>
      <c r="E1099" s="21">
        <v>95.44</v>
      </c>
      <c r="F1099" s="15" t="s">
        <v>18</v>
      </c>
      <c r="G1099" s="15" t="s">
        <v>16</v>
      </c>
      <c r="H1099" s="17">
        <v>46630</v>
      </c>
      <c r="I1099" s="15">
        <v>360</v>
      </c>
      <c r="J1099" s="18">
        <v>420</v>
      </c>
      <c r="K1099" t="str">
        <f t="shared" si="17"/>
        <v>DE355-SDR9</v>
      </c>
      <c r="L1099">
        <f>VLOOKUP(K1099,'[1]Tarif - Evolution Marché'!$F:$L,7,0)</f>
        <v>95.444583333333313</v>
      </c>
    </row>
    <row r="1100" spans="1:12" x14ac:dyDescent="0.3">
      <c r="A1100" s="8" t="s">
        <v>23</v>
      </c>
      <c r="B1100" s="11">
        <v>400</v>
      </c>
      <c r="C1100" s="11" t="s">
        <v>10</v>
      </c>
      <c r="D1100" s="11">
        <v>20</v>
      </c>
      <c r="E1100" s="21">
        <v>121.06</v>
      </c>
      <c r="F1100" s="11" t="s">
        <v>18</v>
      </c>
      <c r="G1100" s="11" t="s">
        <v>16</v>
      </c>
      <c r="H1100" s="12">
        <v>46630</v>
      </c>
      <c r="I1100" s="11">
        <v>360</v>
      </c>
      <c r="J1100" s="13">
        <v>420</v>
      </c>
      <c r="K1100" t="str">
        <f t="shared" si="17"/>
        <v>DE400-SDR9</v>
      </c>
      <c r="L1100">
        <f>VLOOKUP(K1100,'[1]Tarif - Evolution Marché'!$F:$L,7,0)</f>
        <v>121.05756012658226</v>
      </c>
    </row>
    <row r="1101" spans="1:12" x14ac:dyDescent="0.3">
      <c r="A1101" s="14" t="s">
        <v>23</v>
      </c>
      <c r="B1101" s="15">
        <v>450</v>
      </c>
      <c r="C1101" s="15" t="s">
        <v>10</v>
      </c>
      <c r="D1101" s="15">
        <v>20</v>
      </c>
      <c r="E1101" s="21">
        <v>153.19</v>
      </c>
      <c r="F1101" s="15" t="s">
        <v>18</v>
      </c>
      <c r="G1101" s="15" t="s">
        <v>16</v>
      </c>
      <c r="H1101" s="17">
        <v>46630</v>
      </c>
      <c r="I1101" s="15">
        <v>192</v>
      </c>
      <c r="J1101" s="18">
        <v>224</v>
      </c>
      <c r="K1101" t="str">
        <f t="shared" si="17"/>
        <v>DE450-SDR9</v>
      </c>
      <c r="L1101">
        <f>VLOOKUP(K1101,'[1]Tarif - Evolution Marché'!$F:$L,7,0)</f>
        <v>153.19459704641346</v>
      </c>
    </row>
    <row r="1102" spans="1:12" x14ac:dyDescent="0.3">
      <c r="A1102" s="8" t="s">
        <v>23</v>
      </c>
      <c r="B1102" s="11">
        <v>500</v>
      </c>
      <c r="C1102" s="11" t="s">
        <v>10</v>
      </c>
      <c r="D1102" s="11">
        <v>20</v>
      </c>
      <c r="E1102" s="21">
        <v>188.71</v>
      </c>
      <c r="F1102" s="11" t="s">
        <v>18</v>
      </c>
      <c r="G1102" s="11" t="s">
        <v>16</v>
      </c>
      <c r="H1102" s="12">
        <v>46630</v>
      </c>
      <c r="I1102" s="11">
        <v>192</v>
      </c>
      <c r="J1102" s="13">
        <v>224</v>
      </c>
      <c r="K1102" t="str">
        <f t="shared" si="17"/>
        <v>DE500-SDR9</v>
      </c>
      <c r="L1102">
        <f>VLOOKUP(K1102,'[1]Tarif - Evolution Marché'!$F:$L,7,0)</f>
        <v>188.71447995780585</v>
      </c>
    </row>
    <row r="1103" spans="1:12" x14ac:dyDescent="0.3">
      <c r="A1103" s="14" t="s">
        <v>23</v>
      </c>
      <c r="B1103" s="15">
        <v>560</v>
      </c>
      <c r="C1103" s="15" t="s">
        <v>10</v>
      </c>
      <c r="D1103" s="15">
        <v>20</v>
      </c>
      <c r="E1103" s="21">
        <v>236.8</v>
      </c>
      <c r="F1103" s="15" t="s">
        <v>18</v>
      </c>
      <c r="G1103" s="15" t="s">
        <v>16</v>
      </c>
      <c r="H1103" s="17">
        <v>46630</v>
      </c>
      <c r="I1103" s="15">
        <v>192</v>
      </c>
      <c r="J1103" s="18">
        <v>224</v>
      </c>
      <c r="K1103" t="str">
        <f t="shared" si="17"/>
        <v>DE560-SDR9</v>
      </c>
      <c r="L1103">
        <f>VLOOKUP(K1103,'[1]Tarif - Evolution Marché'!$F:$L,7,0)</f>
        <v>236.79921940928267</v>
      </c>
    </row>
    <row r="1104" spans="1:12" x14ac:dyDescent="0.3">
      <c r="A1104" s="8" t="s">
        <v>23</v>
      </c>
      <c r="B1104" s="11">
        <v>16</v>
      </c>
      <c r="C1104" s="11" t="s">
        <v>11</v>
      </c>
      <c r="D1104" s="11">
        <v>25</v>
      </c>
      <c r="E1104" s="21">
        <v>0.25</v>
      </c>
      <c r="F1104" s="11" t="s">
        <v>18</v>
      </c>
      <c r="G1104" s="11" t="s">
        <v>16</v>
      </c>
      <c r="H1104" s="12">
        <v>46630</v>
      </c>
      <c r="I1104" s="12"/>
      <c r="J1104" s="13"/>
      <c r="K1104" t="str">
        <f t="shared" si="17"/>
        <v>DE16-SDR7,4</v>
      </c>
      <c r="L1104">
        <f>VLOOKUP(K1104,'[1]Tarif - Evolution Marché'!$F:$L,7,0)</f>
        <v>0.24888081223628686</v>
      </c>
    </row>
    <row r="1105" spans="1:12" x14ac:dyDescent="0.3">
      <c r="A1105" s="14" t="s">
        <v>23</v>
      </c>
      <c r="B1105" s="15">
        <v>20</v>
      </c>
      <c r="C1105" s="15" t="s">
        <v>11</v>
      </c>
      <c r="D1105" s="15">
        <v>25</v>
      </c>
      <c r="E1105" s="21">
        <v>0.4</v>
      </c>
      <c r="F1105" s="15" t="s">
        <v>18</v>
      </c>
      <c r="G1105" s="15" t="s">
        <v>16</v>
      </c>
      <c r="H1105" s="17">
        <v>46630</v>
      </c>
      <c r="I1105" s="17"/>
      <c r="J1105" s="18"/>
      <c r="K1105" t="str">
        <f t="shared" si="17"/>
        <v>DE20-SDR7,4</v>
      </c>
      <c r="L1105">
        <f>VLOOKUP(K1105,'[1]Tarif - Evolution Marché'!$F:$L,7,0)</f>
        <v>0.39627624472573836</v>
      </c>
    </row>
    <row r="1106" spans="1:12" x14ac:dyDescent="0.3">
      <c r="A1106" s="8" t="s">
        <v>23</v>
      </c>
      <c r="B1106" s="11">
        <v>25</v>
      </c>
      <c r="C1106" s="11" t="s">
        <v>11</v>
      </c>
      <c r="D1106" s="11">
        <v>25</v>
      </c>
      <c r="E1106" s="21">
        <v>0.59</v>
      </c>
      <c r="F1106" s="11" t="s">
        <v>18</v>
      </c>
      <c r="G1106" s="11" t="s">
        <v>16</v>
      </c>
      <c r="H1106" s="12">
        <v>46630</v>
      </c>
      <c r="I1106" s="12"/>
      <c r="J1106" s="13"/>
      <c r="K1106" t="str">
        <f t="shared" si="17"/>
        <v>DE25-SDR7,4</v>
      </c>
      <c r="L1106">
        <f>VLOOKUP(K1106,'[1]Tarif - Evolution Marché'!$F:$L,7,0)</f>
        <v>0.58716541139240497</v>
      </c>
    </row>
    <row r="1107" spans="1:12" x14ac:dyDescent="0.3">
      <c r="A1107" s="14" t="s">
        <v>23</v>
      </c>
      <c r="B1107" s="15">
        <v>32</v>
      </c>
      <c r="C1107" s="15" t="s">
        <v>11</v>
      </c>
      <c r="D1107" s="15">
        <v>25</v>
      </c>
      <c r="E1107" s="21">
        <v>0.94</v>
      </c>
      <c r="F1107" s="15" t="s">
        <v>18</v>
      </c>
      <c r="G1107" s="15" t="s">
        <v>16</v>
      </c>
      <c r="H1107" s="17">
        <v>46630</v>
      </c>
      <c r="I1107" s="17"/>
      <c r="J1107" s="18"/>
      <c r="K1107" t="str">
        <f t="shared" si="17"/>
        <v>DE32-SDR7,4</v>
      </c>
      <c r="L1107">
        <f>VLOOKUP(K1107,'[1]Tarif - Evolution Marché'!$F:$L,7,0)</f>
        <v>0.94236424050632894</v>
      </c>
    </row>
    <row r="1108" spans="1:12" x14ac:dyDescent="0.3">
      <c r="A1108" s="8" t="s">
        <v>23</v>
      </c>
      <c r="B1108" s="11">
        <v>40</v>
      </c>
      <c r="C1108" s="11" t="s">
        <v>11</v>
      </c>
      <c r="D1108" s="11">
        <v>25</v>
      </c>
      <c r="E1108" s="21">
        <v>1.47</v>
      </c>
      <c r="F1108" s="11" t="s">
        <v>18</v>
      </c>
      <c r="G1108" s="11" t="s">
        <v>16</v>
      </c>
      <c r="H1108" s="12">
        <v>46630</v>
      </c>
      <c r="I1108" s="12"/>
      <c r="J1108" s="13"/>
      <c r="K1108" t="str">
        <f t="shared" si="17"/>
        <v>DE40-SDR7,4</v>
      </c>
      <c r="L1108">
        <f>VLOOKUP(K1108,'[1]Tarif - Evolution Marché'!$F:$L,7,0)</f>
        <v>1.4667053691983118</v>
      </c>
    </row>
    <row r="1109" spans="1:12" x14ac:dyDescent="0.3">
      <c r="A1109" s="14" t="s">
        <v>23</v>
      </c>
      <c r="B1109" s="15">
        <v>50</v>
      </c>
      <c r="C1109" s="15" t="s">
        <v>11</v>
      </c>
      <c r="D1109" s="15">
        <v>25</v>
      </c>
      <c r="E1109" s="21">
        <v>2.2799999999999998</v>
      </c>
      <c r="F1109" s="15" t="s">
        <v>18</v>
      </c>
      <c r="G1109" s="15" t="s">
        <v>16</v>
      </c>
      <c r="H1109" s="17">
        <v>46630</v>
      </c>
      <c r="I1109" s="17"/>
      <c r="J1109" s="18"/>
      <c r="K1109" t="str">
        <f t="shared" si="17"/>
        <v>DE50-SDR7,4</v>
      </c>
      <c r="L1109">
        <f>VLOOKUP(K1109,'[1]Tarif - Evolution Marché'!$F:$L,7,0)</f>
        <v>2.2834210443037968</v>
      </c>
    </row>
    <row r="1110" spans="1:12" x14ac:dyDescent="0.3">
      <c r="A1110" s="8" t="s">
        <v>23</v>
      </c>
      <c r="B1110" s="11">
        <v>63</v>
      </c>
      <c r="C1110" s="11" t="s">
        <v>11</v>
      </c>
      <c r="D1110" s="11">
        <v>25</v>
      </c>
      <c r="E1110" s="21">
        <v>3.6</v>
      </c>
      <c r="F1110" s="11" t="s">
        <v>18</v>
      </c>
      <c r="G1110" s="11" t="s">
        <v>16</v>
      </c>
      <c r="H1110" s="12">
        <v>46630</v>
      </c>
      <c r="I1110" s="12"/>
      <c r="J1110" s="13"/>
      <c r="K1110" t="str">
        <f t="shared" si="17"/>
        <v>DE63-SDR7,4</v>
      </c>
      <c r="L1110">
        <f>VLOOKUP(K1110,'[1]Tarif - Evolution Marché'!$F:$L,7,0)</f>
        <v>3.6003146624472566</v>
      </c>
    </row>
    <row r="1111" spans="1:12" x14ac:dyDescent="0.3">
      <c r="A1111" s="14" t="s">
        <v>23</v>
      </c>
      <c r="B1111" s="15">
        <v>75</v>
      </c>
      <c r="C1111" s="15" t="s">
        <v>11</v>
      </c>
      <c r="D1111" s="15">
        <v>25</v>
      </c>
      <c r="E1111" s="21">
        <v>5.12</v>
      </c>
      <c r="F1111" s="15" t="s">
        <v>18</v>
      </c>
      <c r="G1111" s="15" t="s">
        <v>16</v>
      </c>
      <c r="H1111" s="17">
        <v>46630</v>
      </c>
      <c r="I1111" s="17"/>
      <c r="J1111" s="18"/>
      <c r="K1111" t="str">
        <f t="shared" si="17"/>
        <v>DE75-SDR7,4</v>
      </c>
      <c r="L1111">
        <f>VLOOKUP(K1111,'[1]Tarif - Evolution Marché'!$F:$L,7,0)</f>
        <v>5.1225953586497885</v>
      </c>
    </row>
    <row r="1112" spans="1:12" x14ac:dyDescent="0.3">
      <c r="A1112" s="8" t="s">
        <v>23</v>
      </c>
      <c r="B1112" s="11">
        <v>90</v>
      </c>
      <c r="C1112" s="11" t="s">
        <v>11</v>
      </c>
      <c r="D1112" s="11">
        <v>25</v>
      </c>
      <c r="E1112" s="21">
        <v>7.32</v>
      </c>
      <c r="F1112" s="11" t="s">
        <v>18</v>
      </c>
      <c r="G1112" s="11" t="s">
        <v>16</v>
      </c>
      <c r="H1112" s="12">
        <v>46630</v>
      </c>
      <c r="I1112" s="12"/>
      <c r="J1112" s="13"/>
      <c r="K1112" t="str">
        <f t="shared" si="17"/>
        <v>DE90-SDR7,4</v>
      </c>
      <c r="L1112">
        <f>VLOOKUP(K1112,'[1]Tarif - Evolution Marché'!$F:$L,7,0)</f>
        <v>7.3214452531645549</v>
      </c>
    </row>
    <row r="1113" spans="1:12" x14ac:dyDescent="0.3">
      <c r="A1113" s="14" t="s">
        <v>23</v>
      </c>
      <c r="B1113" s="15">
        <v>110</v>
      </c>
      <c r="C1113" s="15" t="s">
        <v>11</v>
      </c>
      <c r="D1113" s="15">
        <v>25</v>
      </c>
      <c r="E1113" s="21">
        <v>10.97</v>
      </c>
      <c r="F1113" s="15" t="s">
        <v>18</v>
      </c>
      <c r="G1113" s="15" t="s">
        <v>16</v>
      </c>
      <c r="H1113" s="17">
        <v>46630</v>
      </c>
      <c r="I1113" s="17"/>
      <c r="J1113" s="18"/>
      <c r="K1113" t="str">
        <f t="shared" si="17"/>
        <v>DE110-SDR7,4</v>
      </c>
      <c r="L1113">
        <f>VLOOKUP(K1113,'[1]Tarif - Evolution Marché'!$F:$L,7,0)</f>
        <v>10.970086286919829</v>
      </c>
    </row>
    <row r="1114" spans="1:12" x14ac:dyDescent="0.3">
      <c r="A1114" s="8" t="s">
        <v>23</v>
      </c>
      <c r="B1114" s="11">
        <v>125</v>
      </c>
      <c r="C1114" s="11" t="s">
        <v>11</v>
      </c>
      <c r="D1114" s="11">
        <v>25</v>
      </c>
      <c r="E1114" s="21">
        <v>14.11</v>
      </c>
      <c r="F1114" s="11" t="s">
        <v>18</v>
      </c>
      <c r="G1114" s="11" t="s">
        <v>16</v>
      </c>
      <c r="H1114" s="12">
        <v>46630</v>
      </c>
      <c r="I1114" s="11">
        <v>2400</v>
      </c>
      <c r="J1114" s="13">
        <v>2800</v>
      </c>
      <c r="K1114" t="str">
        <f t="shared" si="17"/>
        <v>DE125-SDR7,4</v>
      </c>
      <c r="L1114">
        <f>VLOOKUP(K1114,'[1]Tarif - Evolution Marché'!$F:$L,7,0)</f>
        <v>14.111300421940925</v>
      </c>
    </row>
    <row r="1115" spans="1:12" x14ac:dyDescent="0.3">
      <c r="A1115" s="14" t="s">
        <v>23</v>
      </c>
      <c r="B1115" s="15">
        <v>140</v>
      </c>
      <c r="C1115" s="15" t="s">
        <v>11</v>
      </c>
      <c r="D1115" s="15">
        <v>25</v>
      </c>
      <c r="E1115" s="21">
        <v>17.71</v>
      </c>
      <c r="F1115" s="15" t="s">
        <v>18</v>
      </c>
      <c r="G1115" s="15" t="s">
        <v>16</v>
      </c>
      <c r="H1115" s="17">
        <v>46630</v>
      </c>
      <c r="I1115" s="15">
        <v>1920</v>
      </c>
      <c r="J1115" s="18">
        <v>2240</v>
      </c>
      <c r="K1115" t="str">
        <f t="shared" si="17"/>
        <v>DE140-SDR7,4</v>
      </c>
      <c r="L1115">
        <f>VLOOKUP(K1115,'[1]Tarif - Evolution Marché'!$F:$L,7,0)</f>
        <v>17.711615084388182</v>
      </c>
    </row>
    <row r="1116" spans="1:12" x14ac:dyDescent="0.3">
      <c r="A1116" s="8" t="s">
        <v>23</v>
      </c>
      <c r="B1116" s="11">
        <v>160</v>
      </c>
      <c r="C1116" s="11" t="s">
        <v>11</v>
      </c>
      <c r="D1116" s="11">
        <v>25</v>
      </c>
      <c r="E1116" s="21">
        <v>23.05</v>
      </c>
      <c r="F1116" s="11" t="s">
        <v>18</v>
      </c>
      <c r="G1116" s="11" t="s">
        <v>16</v>
      </c>
      <c r="H1116" s="12">
        <v>46630</v>
      </c>
      <c r="I1116" s="11">
        <v>1920</v>
      </c>
      <c r="J1116" s="13">
        <v>2240</v>
      </c>
      <c r="K1116" t="str">
        <f t="shared" si="17"/>
        <v>DE160-SDR7,4</v>
      </c>
      <c r="L1116">
        <f>VLOOKUP(K1116,'[1]Tarif - Evolution Marché'!$F:$L,7,0)</f>
        <v>23.051679113924045</v>
      </c>
    </row>
    <row r="1117" spans="1:12" x14ac:dyDescent="0.3">
      <c r="A1117" s="14" t="s">
        <v>23</v>
      </c>
      <c r="B1117" s="15">
        <v>180</v>
      </c>
      <c r="C1117" s="15" t="s">
        <v>11</v>
      </c>
      <c r="D1117" s="15">
        <v>25</v>
      </c>
      <c r="E1117" s="21">
        <v>29.24</v>
      </c>
      <c r="F1117" s="15" t="s">
        <v>18</v>
      </c>
      <c r="G1117" s="15" t="s">
        <v>16</v>
      </c>
      <c r="H1117" s="17">
        <v>46630</v>
      </c>
      <c r="I1117" s="15">
        <v>1200</v>
      </c>
      <c r="J1117" s="18">
        <v>1400</v>
      </c>
      <c r="K1117" t="str">
        <f t="shared" si="17"/>
        <v>DE180-SDR7,4</v>
      </c>
      <c r="L1117">
        <f>VLOOKUP(K1117,'[1]Tarif - Evolution Marché'!$F:$L,7,0)</f>
        <v>29.237454641350205</v>
      </c>
    </row>
    <row r="1118" spans="1:12" x14ac:dyDescent="0.3">
      <c r="A1118" s="8" t="s">
        <v>23</v>
      </c>
      <c r="B1118" s="11">
        <v>200</v>
      </c>
      <c r="C1118" s="11" t="s">
        <v>11</v>
      </c>
      <c r="D1118" s="11">
        <v>25</v>
      </c>
      <c r="E1118" s="21">
        <v>36</v>
      </c>
      <c r="F1118" s="11" t="s">
        <v>18</v>
      </c>
      <c r="G1118" s="11" t="s">
        <v>16</v>
      </c>
      <c r="H1118" s="12">
        <v>46630</v>
      </c>
      <c r="I1118" s="11">
        <v>960</v>
      </c>
      <c r="J1118" s="13">
        <v>1120</v>
      </c>
      <c r="K1118" t="str">
        <f t="shared" si="17"/>
        <v>DE200-SDR7,4</v>
      </c>
      <c r="L1118">
        <f>VLOOKUP(K1118,'[1]Tarif - Evolution Marché'!$F:$L,7,0)</f>
        <v>36.003146624472571</v>
      </c>
    </row>
    <row r="1119" spans="1:12" x14ac:dyDescent="0.3">
      <c r="A1119" s="14" t="s">
        <v>23</v>
      </c>
      <c r="B1119" s="15">
        <v>225</v>
      </c>
      <c r="C1119" s="15" t="s">
        <v>11</v>
      </c>
      <c r="D1119" s="15">
        <v>25</v>
      </c>
      <c r="E1119" s="21">
        <v>45.43</v>
      </c>
      <c r="F1119" s="15" t="s">
        <v>18</v>
      </c>
      <c r="G1119" s="15" t="s">
        <v>16</v>
      </c>
      <c r="H1119" s="17">
        <v>46630</v>
      </c>
      <c r="I1119" s="15">
        <v>960</v>
      </c>
      <c r="J1119" s="18">
        <v>1120</v>
      </c>
      <c r="K1119" t="str">
        <f t="shared" si="17"/>
        <v>DE225-SDR7,4</v>
      </c>
      <c r="L1119">
        <f>VLOOKUP(K1119,'[1]Tarif - Evolution Marché'!$F:$L,7,0)</f>
        <v>45.426789029535861</v>
      </c>
    </row>
    <row r="1120" spans="1:12" x14ac:dyDescent="0.3">
      <c r="A1120" s="8" t="s">
        <v>23</v>
      </c>
      <c r="B1120" s="11">
        <v>250</v>
      </c>
      <c r="C1120" s="11" t="s">
        <v>11</v>
      </c>
      <c r="D1120" s="11">
        <v>25</v>
      </c>
      <c r="E1120" s="21">
        <v>56.3</v>
      </c>
      <c r="F1120" s="11" t="s">
        <v>18</v>
      </c>
      <c r="G1120" s="11" t="s">
        <v>16</v>
      </c>
      <c r="H1120" s="12">
        <v>46630</v>
      </c>
      <c r="I1120" s="11">
        <v>672</v>
      </c>
      <c r="J1120" s="13">
        <v>784</v>
      </c>
      <c r="K1120" t="str">
        <f t="shared" si="17"/>
        <v>DE250-SDR7,4</v>
      </c>
      <c r="L1120">
        <f>VLOOKUP(K1120,'[1]Tarif - Evolution Marché'!$F:$L,7,0)</f>
        <v>56.300222573839655</v>
      </c>
    </row>
    <row r="1121" spans="1:12" x14ac:dyDescent="0.3">
      <c r="A1121" s="14" t="s">
        <v>23</v>
      </c>
      <c r="B1121" s="15">
        <v>280</v>
      </c>
      <c r="C1121" s="15" t="s">
        <v>11</v>
      </c>
      <c r="D1121" s="15">
        <v>25</v>
      </c>
      <c r="E1121" s="21">
        <v>70.56</v>
      </c>
      <c r="F1121" s="15" t="s">
        <v>18</v>
      </c>
      <c r="G1121" s="15" t="s">
        <v>16</v>
      </c>
      <c r="H1121" s="17">
        <v>46630</v>
      </c>
      <c r="I1121" s="15">
        <v>672</v>
      </c>
      <c r="J1121" s="18">
        <v>784</v>
      </c>
      <c r="K1121" t="str">
        <f t="shared" si="17"/>
        <v>DE280-SDR7,4</v>
      </c>
      <c r="L1121">
        <f>VLOOKUP(K1121,'[1]Tarif - Evolution Marché'!$F:$L,7,0)</f>
        <v>70.556502109704624</v>
      </c>
    </row>
    <row r="1122" spans="1:12" x14ac:dyDescent="0.3">
      <c r="A1122" s="8" t="s">
        <v>23</v>
      </c>
      <c r="B1122" s="11">
        <v>315</v>
      </c>
      <c r="C1122" s="11" t="s">
        <v>11</v>
      </c>
      <c r="D1122" s="11">
        <v>25</v>
      </c>
      <c r="E1122" s="21">
        <v>89.16</v>
      </c>
      <c r="F1122" s="11" t="s">
        <v>18</v>
      </c>
      <c r="G1122" s="11" t="s">
        <v>16</v>
      </c>
      <c r="H1122" s="12">
        <v>46630</v>
      </c>
      <c r="I1122" s="11">
        <v>432</v>
      </c>
      <c r="J1122" s="13">
        <v>504</v>
      </c>
      <c r="K1122" t="str">
        <f t="shared" si="17"/>
        <v>DE315-SDR7,4</v>
      </c>
      <c r="L1122">
        <f>VLOOKUP(K1122,'[1]Tarif - Evolution Marché'!$F:$L,7,0)</f>
        <v>89.162155063291124</v>
      </c>
    </row>
    <row r="1123" spans="1:12" x14ac:dyDescent="0.3">
      <c r="A1123" s="14" t="s">
        <v>23</v>
      </c>
      <c r="B1123" s="15">
        <v>355</v>
      </c>
      <c r="C1123" s="15" t="s">
        <v>11</v>
      </c>
      <c r="D1123" s="15">
        <v>25</v>
      </c>
      <c r="E1123" s="21">
        <v>113.08</v>
      </c>
      <c r="F1123" s="15" t="s">
        <v>18</v>
      </c>
      <c r="G1123" s="15" t="s">
        <v>16</v>
      </c>
      <c r="H1123" s="17">
        <v>46630</v>
      </c>
      <c r="I1123" s="15">
        <v>360</v>
      </c>
      <c r="J1123" s="18">
        <v>420</v>
      </c>
      <c r="K1123" t="str">
        <f t="shared" si="17"/>
        <v>DE355-SDR7,4</v>
      </c>
      <c r="L1123">
        <f>VLOOKUP(K1123,'[1]Tarif - Evolution Marché'!$F:$L,7,0)</f>
        <v>113.08370886075947</v>
      </c>
    </row>
    <row r="1124" spans="1:12" x14ac:dyDescent="0.3">
      <c r="A1124" s="8" t="s">
        <v>23</v>
      </c>
      <c r="B1124" s="11">
        <v>400</v>
      </c>
      <c r="C1124" s="11" t="s">
        <v>11</v>
      </c>
      <c r="D1124" s="11">
        <v>25</v>
      </c>
      <c r="E1124" s="21">
        <v>143.53</v>
      </c>
      <c r="F1124" s="11" t="s">
        <v>18</v>
      </c>
      <c r="G1124" s="11" t="s">
        <v>16</v>
      </c>
      <c r="H1124" s="12">
        <v>46630</v>
      </c>
      <c r="I1124" s="11">
        <v>360</v>
      </c>
      <c r="J1124" s="13">
        <v>420</v>
      </c>
      <c r="K1124" t="str">
        <f t="shared" si="17"/>
        <v>DE400-SDR7,4</v>
      </c>
      <c r="L1124">
        <f>VLOOKUP(K1124,'[1]Tarif - Evolution Marché'!$F:$L,7,0)</f>
        <v>143.52932278481009</v>
      </c>
    </row>
    <row r="1125" spans="1:12" x14ac:dyDescent="0.3">
      <c r="A1125" s="14" t="s">
        <v>23</v>
      </c>
      <c r="B1125" s="15">
        <v>450</v>
      </c>
      <c r="C1125" s="15" t="s">
        <v>11</v>
      </c>
      <c r="D1125" s="15">
        <v>25</v>
      </c>
      <c r="E1125" s="21">
        <v>181.71</v>
      </c>
      <c r="F1125" s="15" t="s">
        <v>18</v>
      </c>
      <c r="G1125" s="15" t="s">
        <v>16</v>
      </c>
      <c r="H1125" s="17">
        <v>46630</v>
      </c>
      <c r="I1125" s="15">
        <v>192</v>
      </c>
      <c r="J1125" s="18">
        <v>224</v>
      </c>
      <c r="K1125" t="str">
        <f t="shared" si="17"/>
        <v>DE450-SDR7,4</v>
      </c>
      <c r="L1125">
        <f>VLOOKUP(K1125,'[1]Tarif - Evolution Marché'!$F:$L,7,0)</f>
        <v>181.70715611814344</v>
      </c>
    </row>
    <row r="1126" spans="1:12" x14ac:dyDescent="0.3">
      <c r="A1126" s="8" t="s">
        <v>23</v>
      </c>
      <c r="B1126" s="11">
        <v>500</v>
      </c>
      <c r="C1126" s="11" t="s">
        <v>11</v>
      </c>
      <c r="D1126" s="11">
        <v>25</v>
      </c>
      <c r="E1126" s="21">
        <v>224.23</v>
      </c>
      <c r="F1126" s="11" t="s">
        <v>18</v>
      </c>
      <c r="G1126" s="11" t="s">
        <v>16</v>
      </c>
      <c r="H1126" s="12">
        <v>46630</v>
      </c>
      <c r="I1126" s="11">
        <v>192</v>
      </c>
      <c r="J1126" s="13">
        <v>224</v>
      </c>
      <c r="K1126" t="str">
        <f t="shared" si="17"/>
        <v>DE500-SDR7,4</v>
      </c>
      <c r="L1126">
        <f>VLOOKUP(K1126,'[1]Tarif - Evolution Marché'!$F:$L,7,0)</f>
        <v>224.23436286919826</v>
      </c>
    </row>
    <row r="1127" spans="1:12" x14ac:dyDescent="0.3">
      <c r="A1127" s="14" t="s">
        <v>23</v>
      </c>
      <c r="B1127" s="15">
        <v>63</v>
      </c>
      <c r="C1127" s="15" t="s">
        <v>3</v>
      </c>
      <c r="D1127" s="15">
        <v>4</v>
      </c>
      <c r="E1127" s="21">
        <v>0.89</v>
      </c>
      <c r="F1127" s="15" t="s">
        <v>18</v>
      </c>
      <c r="G1127" s="15" t="s">
        <v>17</v>
      </c>
      <c r="H1127" s="17">
        <v>46630</v>
      </c>
      <c r="I1127" s="17"/>
      <c r="J1127" s="18"/>
      <c r="K1127" t="str">
        <f t="shared" si="17"/>
        <v>DE63-SDR41</v>
      </c>
      <c r="L1127">
        <f>VLOOKUP(K1127,'[1]Tarif - Evolution Marché'!$F:$L,7,0)</f>
        <v>0.88920523206751034</v>
      </c>
    </row>
    <row r="1128" spans="1:12" x14ac:dyDescent="0.3">
      <c r="A1128" s="8" t="s">
        <v>23</v>
      </c>
      <c r="B1128" s="11">
        <v>75</v>
      </c>
      <c r="C1128" s="11" t="s">
        <v>3</v>
      </c>
      <c r="D1128" s="11">
        <v>4</v>
      </c>
      <c r="E1128" s="21">
        <v>1.1200000000000001</v>
      </c>
      <c r="F1128" s="11" t="s">
        <v>18</v>
      </c>
      <c r="G1128" s="11" t="s">
        <v>17</v>
      </c>
      <c r="H1128" s="12">
        <v>46630</v>
      </c>
      <c r="I1128" s="12"/>
      <c r="J1128" s="13"/>
      <c r="K1128" t="str">
        <f t="shared" si="17"/>
        <v>DE75-SDR41</v>
      </c>
      <c r="L1128">
        <f>VLOOKUP(K1128,'[1]Tarif - Evolution Marché'!$F:$L,7,0)</f>
        <v>1.1163391772151898</v>
      </c>
    </row>
    <row r="1129" spans="1:12" x14ac:dyDescent="0.3">
      <c r="A1129" s="14" t="s">
        <v>23</v>
      </c>
      <c r="B1129" s="15">
        <v>90</v>
      </c>
      <c r="C1129" s="15" t="s">
        <v>3</v>
      </c>
      <c r="D1129" s="15">
        <v>4</v>
      </c>
      <c r="E1129" s="21">
        <v>1.56</v>
      </c>
      <c r="F1129" s="15" t="s">
        <v>18</v>
      </c>
      <c r="G1129" s="15" t="s">
        <v>17</v>
      </c>
      <c r="H1129" s="17">
        <v>46630</v>
      </c>
      <c r="I1129" s="17"/>
      <c r="J1129" s="18"/>
      <c r="K1129" t="str">
        <f t="shared" si="17"/>
        <v>DE90-SDR41</v>
      </c>
      <c r="L1129">
        <f>VLOOKUP(K1129,'[1]Tarif - Evolution Marché'!$F:$L,7,0)</f>
        <v>1.5633581118143458</v>
      </c>
    </row>
    <row r="1130" spans="1:12" x14ac:dyDescent="0.3">
      <c r="A1130" s="8" t="s">
        <v>23</v>
      </c>
      <c r="B1130" s="11">
        <v>110</v>
      </c>
      <c r="C1130" s="11" t="s">
        <v>3</v>
      </c>
      <c r="D1130" s="11">
        <v>4</v>
      </c>
      <c r="E1130" s="21">
        <v>2.2999999999999998</v>
      </c>
      <c r="F1130" s="11" t="s">
        <v>18</v>
      </c>
      <c r="G1130" s="11" t="s">
        <v>17</v>
      </c>
      <c r="H1130" s="12">
        <v>46630</v>
      </c>
      <c r="I1130" s="12"/>
      <c r="J1130" s="13"/>
      <c r="K1130" t="str">
        <f t="shared" si="17"/>
        <v>DE110-SDR41</v>
      </c>
      <c r="L1130">
        <f>VLOOKUP(K1130,'[1]Tarif - Evolution Marché'!$F:$L,7,0)</f>
        <v>2.3003352742616028</v>
      </c>
    </row>
    <row r="1131" spans="1:12" x14ac:dyDescent="0.3">
      <c r="A1131" s="14" t="s">
        <v>23</v>
      </c>
      <c r="B1131" s="15">
        <v>125</v>
      </c>
      <c r="C1131" s="15" t="s">
        <v>3</v>
      </c>
      <c r="D1131" s="15">
        <v>4</v>
      </c>
      <c r="E1131" s="21">
        <v>3.02</v>
      </c>
      <c r="F1131" s="15" t="s">
        <v>18</v>
      </c>
      <c r="G1131" s="15" t="s">
        <v>17</v>
      </c>
      <c r="H1131" s="17">
        <v>46630</v>
      </c>
      <c r="I1131" s="15">
        <v>2400</v>
      </c>
      <c r="J1131" s="18">
        <v>2800</v>
      </c>
      <c r="K1131" t="str">
        <f t="shared" si="17"/>
        <v>DE125-SDR41</v>
      </c>
      <c r="L1131">
        <f>VLOOKUP(K1131,'[1]Tarif - Evolution Marché'!$F:$L,7,0)</f>
        <v>3.0203982067510542</v>
      </c>
    </row>
    <row r="1132" spans="1:12" x14ac:dyDescent="0.3">
      <c r="A1132" s="8" t="s">
        <v>23</v>
      </c>
      <c r="B1132" s="11">
        <v>140</v>
      </c>
      <c r="C1132" s="11" t="s">
        <v>3</v>
      </c>
      <c r="D1132" s="11">
        <v>4</v>
      </c>
      <c r="E1132" s="21">
        <v>3.77</v>
      </c>
      <c r="F1132" s="11" t="s">
        <v>18</v>
      </c>
      <c r="G1132" s="11" t="s">
        <v>17</v>
      </c>
      <c r="H1132" s="12">
        <v>46630</v>
      </c>
      <c r="I1132" s="11">
        <v>1920</v>
      </c>
      <c r="J1132" s="13">
        <v>2240</v>
      </c>
      <c r="K1132" t="str">
        <f t="shared" si="17"/>
        <v>DE140-SDR41</v>
      </c>
      <c r="L1132">
        <f>VLOOKUP(K1132,'[1]Tarif - Evolution Marché'!$F:$L,7,0)</f>
        <v>3.7694569620253158</v>
      </c>
    </row>
    <row r="1133" spans="1:12" x14ac:dyDescent="0.3">
      <c r="A1133" s="14" t="s">
        <v>23</v>
      </c>
      <c r="B1133" s="15">
        <v>160</v>
      </c>
      <c r="C1133" s="15" t="s">
        <v>3</v>
      </c>
      <c r="D1133" s="15">
        <v>4</v>
      </c>
      <c r="E1133" s="21">
        <v>4.88</v>
      </c>
      <c r="F1133" s="15" t="s">
        <v>18</v>
      </c>
      <c r="G1133" s="15" t="s">
        <v>17</v>
      </c>
      <c r="H1133" s="17">
        <v>46630</v>
      </c>
      <c r="I1133" s="15">
        <v>1920</v>
      </c>
      <c r="J1133" s="18">
        <v>2240</v>
      </c>
      <c r="K1133" t="str">
        <f t="shared" si="17"/>
        <v>DE160-SDR41</v>
      </c>
      <c r="L1133">
        <f>VLOOKUP(K1133,'[1]Tarif - Evolution Marché'!$F:$L,7,0)</f>
        <v>4.8809635021097035</v>
      </c>
    </row>
    <row r="1134" spans="1:12" x14ac:dyDescent="0.3">
      <c r="A1134" s="8" t="s">
        <v>23</v>
      </c>
      <c r="B1134" s="11">
        <v>180</v>
      </c>
      <c r="C1134" s="11" t="s">
        <v>3</v>
      </c>
      <c r="D1134" s="11">
        <v>4</v>
      </c>
      <c r="E1134" s="21">
        <v>6.06</v>
      </c>
      <c r="F1134" s="11" t="s">
        <v>18</v>
      </c>
      <c r="G1134" s="11" t="s">
        <v>17</v>
      </c>
      <c r="H1134" s="12">
        <v>46630</v>
      </c>
      <c r="I1134" s="11">
        <v>1200</v>
      </c>
      <c r="J1134" s="13">
        <v>1400</v>
      </c>
      <c r="K1134" t="str">
        <f t="shared" si="17"/>
        <v>DE180-SDR41</v>
      </c>
      <c r="L1134">
        <f>VLOOKUP(K1134,'[1]Tarif - Evolution Marché'!$F:$L,7,0)</f>
        <v>6.0649595991561167</v>
      </c>
    </row>
    <row r="1135" spans="1:12" x14ac:dyDescent="0.3">
      <c r="A1135" s="14" t="s">
        <v>23</v>
      </c>
      <c r="B1135" s="15">
        <v>200</v>
      </c>
      <c r="C1135" s="15" t="s">
        <v>3</v>
      </c>
      <c r="D1135" s="15">
        <v>4</v>
      </c>
      <c r="E1135" s="21">
        <v>7.44</v>
      </c>
      <c r="F1135" s="15" t="s">
        <v>18</v>
      </c>
      <c r="G1135" s="15" t="s">
        <v>17</v>
      </c>
      <c r="H1135" s="17">
        <v>46630</v>
      </c>
      <c r="I1135" s="15">
        <v>960</v>
      </c>
      <c r="J1135" s="18">
        <v>1120</v>
      </c>
      <c r="K1135" t="str">
        <f t="shared" si="17"/>
        <v>DE200-SDR41</v>
      </c>
      <c r="L1135">
        <f>VLOOKUP(K1135,'[1]Tarif - Evolution Marché'!$F:$L,7,0)</f>
        <v>7.4422611814345982</v>
      </c>
    </row>
    <row r="1136" spans="1:12" x14ac:dyDescent="0.3">
      <c r="A1136" s="8" t="s">
        <v>23</v>
      </c>
      <c r="B1136" s="11">
        <v>225</v>
      </c>
      <c r="C1136" s="11" t="s">
        <v>3</v>
      </c>
      <c r="D1136" s="11">
        <v>4</v>
      </c>
      <c r="E1136" s="21">
        <v>9.42</v>
      </c>
      <c r="F1136" s="11" t="s">
        <v>18</v>
      </c>
      <c r="G1136" s="11" t="s">
        <v>17</v>
      </c>
      <c r="H1136" s="12">
        <v>46630</v>
      </c>
      <c r="I1136" s="11">
        <v>960</v>
      </c>
      <c r="J1136" s="13">
        <v>1120</v>
      </c>
      <c r="K1136" t="str">
        <f t="shared" si="17"/>
        <v>DE225-SDR41</v>
      </c>
      <c r="L1136">
        <f>VLOOKUP(K1136,'[1]Tarif - Evolution Marché'!$F:$L,7,0)</f>
        <v>9.4236424050632888</v>
      </c>
    </row>
    <row r="1137" spans="1:12" x14ac:dyDescent="0.3">
      <c r="A1137" s="14" t="s">
        <v>23</v>
      </c>
      <c r="B1137" s="15">
        <v>250</v>
      </c>
      <c r="C1137" s="15" t="s">
        <v>3</v>
      </c>
      <c r="D1137" s="15">
        <v>4</v>
      </c>
      <c r="E1137" s="21">
        <v>11.79</v>
      </c>
      <c r="F1137" s="15" t="s">
        <v>18</v>
      </c>
      <c r="G1137" s="15" t="s">
        <v>17</v>
      </c>
      <c r="H1137" s="17">
        <v>46630</v>
      </c>
      <c r="I1137" s="15">
        <v>672</v>
      </c>
      <c r="J1137" s="18">
        <v>784</v>
      </c>
      <c r="K1137" t="str">
        <f t="shared" si="17"/>
        <v>DE250-SDR41</v>
      </c>
      <c r="L1137">
        <f>VLOOKUP(K1137,'[1]Tarif - Evolution Marché'!$F:$L,7,0)</f>
        <v>11.791634599156115</v>
      </c>
    </row>
    <row r="1138" spans="1:12" x14ac:dyDescent="0.3">
      <c r="A1138" s="8" t="s">
        <v>23</v>
      </c>
      <c r="B1138" s="11">
        <v>280</v>
      </c>
      <c r="C1138" s="11" t="s">
        <v>3</v>
      </c>
      <c r="D1138" s="11">
        <v>4</v>
      </c>
      <c r="E1138" s="21">
        <v>14.59</v>
      </c>
      <c r="F1138" s="11" t="s">
        <v>18</v>
      </c>
      <c r="G1138" s="11" t="s">
        <v>17</v>
      </c>
      <c r="H1138" s="12">
        <v>46630</v>
      </c>
      <c r="I1138" s="11">
        <v>672</v>
      </c>
      <c r="J1138" s="13">
        <v>784</v>
      </c>
      <c r="K1138" t="str">
        <f t="shared" si="17"/>
        <v>DE280-SDR41</v>
      </c>
      <c r="L1138">
        <f>VLOOKUP(K1138,'[1]Tarif - Evolution Marché'!$F:$L,7,0)</f>
        <v>14.594564135021095</v>
      </c>
    </row>
    <row r="1139" spans="1:12" x14ac:dyDescent="0.3">
      <c r="A1139" s="14" t="s">
        <v>23</v>
      </c>
      <c r="B1139" s="15">
        <v>315</v>
      </c>
      <c r="C1139" s="15" t="s">
        <v>3</v>
      </c>
      <c r="D1139" s="15">
        <v>4</v>
      </c>
      <c r="E1139" s="21">
        <v>18.34</v>
      </c>
      <c r="F1139" s="15" t="s">
        <v>18</v>
      </c>
      <c r="G1139" s="15" t="s">
        <v>17</v>
      </c>
      <c r="H1139" s="17">
        <v>46630</v>
      </c>
      <c r="I1139" s="15">
        <v>432</v>
      </c>
      <c r="J1139" s="18">
        <v>504</v>
      </c>
      <c r="K1139" t="str">
        <f t="shared" si="17"/>
        <v>DE315-SDR41</v>
      </c>
      <c r="L1139">
        <f>VLOOKUP(K1139,'[1]Tarif - Evolution Marché'!$F:$L,7,0)</f>
        <v>18.3398579113924</v>
      </c>
    </row>
    <row r="1140" spans="1:12" x14ac:dyDescent="0.3">
      <c r="A1140" s="8" t="s">
        <v>23</v>
      </c>
      <c r="B1140" s="11">
        <v>355</v>
      </c>
      <c r="C1140" s="11" t="s">
        <v>3</v>
      </c>
      <c r="D1140" s="11">
        <v>4</v>
      </c>
      <c r="E1140" s="21">
        <v>23.32</v>
      </c>
      <c r="F1140" s="11" t="s">
        <v>18</v>
      </c>
      <c r="G1140" s="11" t="s">
        <v>17</v>
      </c>
      <c r="H1140" s="12">
        <v>46630</v>
      </c>
      <c r="I1140" s="11">
        <v>360</v>
      </c>
      <c r="J1140" s="13">
        <v>420</v>
      </c>
      <c r="K1140" t="str">
        <f t="shared" si="17"/>
        <v>DE355-SDR41</v>
      </c>
      <c r="L1140">
        <f>VLOOKUP(K1140,'[1]Tarif - Evolution Marché'!$F:$L,7,0)</f>
        <v>23.317474156118141</v>
      </c>
    </row>
    <row r="1141" spans="1:12" x14ac:dyDescent="0.3">
      <c r="A1141" s="14" t="s">
        <v>23</v>
      </c>
      <c r="B1141" s="15">
        <v>400</v>
      </c>
      <c r="C1141" s="15" t="s">
        <v>3</v>
      </c>
      <c r="D1141" s="15">
        <v>4</v>
      </c>
      <c r="E1141" s="21">
        <v>29.48</v>
      </c>
      <c r="F1141" s="15" t="s">
        <v>18</v>
      </c>
      <c r="G1141" s="15" t="s">
        <v>17</v>
      </c>
      <c r="H1141" s="17">
        <v>46630</v>
      </c>
      <c r="I1141" s="15">
        <v>360</v>
      </c>
      <c r="J1141" s="18">
        <v>420</v>
      </c>
      <c r="K1141" t="str">
        <f t="shared" si="17"/>
        <v>DE400-SDR41</v>
      </c>
      <c r="L1141">
        <f>VLOOKUP(K1141,'[1]Tarif - Evolution Marché'!$F:$L,7,0)</f>
        <v>29.47908649789029</v>
      </c>
    </row>
    <row r="1142" spans="1:12" x14ac:dyDescent="0.3">
      <c r="A1142" s="8" t="s">
        <v>23</v>
      </c>
      <c r="B1142" s="11">
        <v>450</v>
      </c>
      <c r="C1142" s="11" t="s">
        <v>3</v>
      </c>
      <c r="D1142" s="11">
        <v>4</v>
      </c>
      <c r="E1142" s="21">
        <v>37.21</v>
      </c>
      <c r="F1142" s="11" t="s">
        <v>18</v>
      </c>
      <c r="G1142" s="11" t="s">
        <v>17</v>
      </c>
      <c r="H1142" s="12">
        <v>46630</v>
      </c>
      <c r="I1142" s="11">
        <v>192</v>
      </c>
      <c r="J1142" s="13">
        <v>224</v>
      </c>
      <c r="K1142" t="str">
        <f t="shared" si="17"/>
        <v>DE450-SDR41</v>
      </c>
      <c r="L1142">
        <f>VLOOKUP(K1142,'[1]Tarif - Evolution Marché'!$F:$L,7,0)</f>
        <v>37.211305907172992</v>
      </c>
    </row>
    <row r="1143" spans="1:12" x14ac:dyDescent="0.3">
      <c r="A1143" s="14" t="s">
        <v>23</v>
      </c>
      <c r="B1143" s="15">
        <v>500</v>
      </c>
      <c r="C1143" s="15" t="s">
        <v>3</v>
      </c>
      <c r="D1143" s="15">
        <v>4</v>
      </c>
      <c r="E1143" s="21">
        <v>46.39</v>
      </c>
      <c r="F1143" s="15" t="s">
        <v>18</v>
      </c>
      <c r="G1143" s="15" t="s">
        <v>17</v>
      </c>
      <c r="H1143" s="17">
        <v>46630</v>
      </c>
      <c r="I1143" s="15">
        <v>192</v>
      </c>
      <c r="J1143" s="18">
        <v>224</v>
      </c>
      <c r="K1143" t="str">
        <f t="shared" si="17"/>
        <v>DE500-SDR41</v>
      </c>
      <c r="L1143">
        <f>VLOOKUP(K1143,'[1]Tarif - Evolution Marché'!$F:$L,7,0)</f>
        <v>46.393316455696194</v>
      </c>
    </row>
    <row r="1144" spans="1:12" x14ac:dyDescent="0.3">
      <c r="A1144" s="8" t="s">
        <v>23</v>
      </c>
      <c r="B1144" s="11">
        <v>560</v>
      </c>
      <c r="C1144" s="11" t="s">
        <v>3</v>
      </c>
      <c r="D1144" s="11">
        <v>4</v>
      </c>
      <c r="E1144" s="21">
        <v>57.75</v>
      </c>
      <c r="F1144" s="11" t="s">
        <v>18</v>
      </c>
      <c r="G1144" s="11" t="s">
        <v>17</v>
      </c>
      <c r="H1144" s="12">
        <v>46630</v>
      </c>
      <c r="I1144" s="11">
        <v>192</v>
      </c>
      <c r="J1144" s="13">
        <v>224</v>
      </c>
      <c r="K1144" t="str">
        <f t="shared" si="17"/>
        <v>DE560-SDR41</v>
      </c>
      <c r="L1144">
        <f>VLOOKUP(K1144,'[1]Tarif - Evolution Marché'!$F:$L,7,0)</f>
        <v>57.750013713080158</v>
      </c>
    </row>
    <row r="1145" spans="1:12" x14ac:dyDescent="0.3">
      <c r="A1145" s="14" t="s">
        <v>23</v>
      </c>
      <c r="B1145" s="15">
        <v>630</v>
      </c>
      <c r="C1145" s="15" t="s">
        <v>3</v>
      </c>
      <c r="D1145" s="15">
        <v>4</v>
      </c>
      <c r="E1145" s="21">
        <v>72.97</v>
      </c>
      <c r="F1145" s="15" t="s">
        <v>18</v>
      </c>
      <c r="G1145" s="15" t="s">
        <v>17</v>
      </c>
      <c r="H1145" s="17">
        <v>46630</v>
      </c>
      <c r="I1145" s="15">
        <v>108</v>
      </c>
      <c r="J1145" s="18">
        <v>126</v>
      </c>
      <c r="K1145" t="str">
        <f t="shared" si="17"/>
        <v>DE630-SDR41</v>
      </c>
      <c r="L1145">
        <f>VLOOKUP(K1145,'[1]Tarif - Evolution Marché'!$F:$L,7,0)</f>
        <v>72.972820675105467</v>
      </c>
    </row>
    <row r="1146" spans="1:12" x14ac:dyDescent="0.3">
      <c r="A1146" s="8" t="s">
        <v>23</v>
      </c>
      <c r="B1146" s="11">
        <v>710</v>
      </c>
      <c r="C1146" s="11" t="s">
        <v>3</v>
      </c>
      <c r="D1146" s="11">
        <v>4</v>
      </c>
      <c r="E1146" s="21">
        <v>92.79</v>
      </c>
      <c r="F1146" s="11" t="s">
        <v>18</v>
      </c>
      <c r="G1146" s="11" t="s">
        <v>17</v>
      </c>
      <c r="H1146" s="12">
        <v>46630</v>
      </c>
      <c r="I1146" s="11">
        <v>108</v>
      </c>
      <c r="J1146" s="13">
        <v>126</v>
      </c>
      <c r="K1146" t="str">
        <f t="shared" si="17"/>
        <v>DE710-SDR41</v>
      </c>
      <c r="L1146">
        <f>VLOOKUP(K1146,'[1]Tarif - Evolution Marché'!$F:$L,7,0)</f>
        <v>92.786632911392388</v>
      </c>
    </row>
    <row r="1147" spans="1:12" x14ac:dyDescent="0.3">
      <c r="A1147" s="14" t="s">
        <v>23</v>
      </c>
      <c r="B1147" s="15">
        <v>800</v>
      </c>
      <c r="C1147" s="15" t="s">
        <v>3</v>
      </c>
      <c r="D1147" s="15">
        <v>4</v>
      </c>
      <c r="E1147" s="21">
        <v>117.67</v>
      </c>
      <c r="F1147" s="15" t="s">
        <v>18</v>
      </c>
      <c r="G1147" s="15" t="s">
        <v>17</v>
      </c>
      <c r="H1147" s="17">
        <v>46630</v>
      </c>
      <c r="I1147" s="15">
        <v>108</v>
      </c>
      <c r="J1147" s="18">
        <v>126</v>
      </c>
      <c r="K1147" t="str">
        <f t="shared" si="17"/>
        <v>DE800-SDR41</v>
      </c>
      <c r="L1147">
        <f>VLOOKUP(K1147,'[1]Tarif - Evolution Marché'!$F:$L,7,0)</f>
        <v>117.67471413502108</v>
      </c>
    </row>
    <row r="1148" spans="1:12" x14ac:dyDescent="0.3">
      <c r="A1148" s="8" t="s">
        <v>23</v>
      </c>
      <c r="B1148" s="11">
        <v>900</v>
      </c>
      <c r="C1148" s="11" t="s">
        <v>3</v>
      </c>
      <c r="D1148" s="11">
        <v>4</v>
      </c>
      <c r="E1148" s="21">
        <v>148.12</v>
      </c>
      <c r="F1148" s="11" t="s">
        <v>18</v>
      </c>
      <c r="G1148" s="11" t="s">
        <v>17</v>
      </c>
      <c r="H1148" s="12">
        <v>46630</v>
      </c>
      <c r="I1148" s="11">
        <v>72</v>
      </c>
      <c r="J1148" s="13">
        <v>84</v>
      </c>
      <c r="K1148" t="str">
        <f t="shared" si="17"/>
        <v>DE900-SDR41</v>
      </c>
      <c r="L1148">
        <f>VLOOKUP(K1148,'[1]Tarif - Evolution Marché'!$F:$L,7,0)</f>
        <v>148.12032805907171</v>
      </c>
    </row>
    <row r="1149" spans="1:12" x14ac:dyDescent="0.3">
      <c r="A1149" s="14" t="s">
        <v>23</v>
      </c>
      <c r="B1149" s="15">
        <v>1000</v>
      </c>
      <c r="C1149" s="15" t="s">
        <v>3</v>
      </c>
      <c r="D1149" s="15">
        <v>4</v>
      </c>
      <c r="E1149" s="21">
        <v>183.4</v>
      </c>
      <c r="F1149" s="15" t="s">
        <v>18</v>
      </c>
      <c r="G1149" s="15" t="s">
        <v>17</v>
      </c>
      <c r="H1149" s="17">
        <v>46630</v>
      </c>
      <c r="I1149" s="15">
        <v>48</v>
      </c>
      <c r="J1149" s="18">
        <v>56</v>
      </c>
      <c r="K1149" t="str">
        <f t="shared" si="17"/>
        <v>DE1000-SDR41</v>
      </c>
      <c r="L1149">
        <f>VLOOKUP(K1149,'[1]Tarif - Evolution Marché'!$F:$L,7,0)</f>
        <v>183.39857911392403</v>
      </c>
    </row>
    <row r="1150" spans="1:12" x14ac:dyDescent="0.3">
      <c r="A1150" s="8" t="s">
        <v>23</v>
      </c>
      <c r="B1150" s="11">
        <v>1200</v>
      </c>
      <c r="C1150" s="11" t="s">
        <v>3</v>
      </c>
      <c r="D1150" s="11">
        <v>4</v>
      </c>
      <c r="E1150" s="21">
        <v>263.38</v>
      </c>
      <c r="F1150" s="11" t="s">
        <v>18</v>
      </c>
      <c r="G1150" s="11" t="s">
        <v>17</v>
      </c>
      <c r="H1150" s="12">
        <v>46630</v>
      </c>
      <c r="I1150" s="11">
        <v>36</v>
      </c>
      <c r="J1150" s="13">
        <v>42</v>
      </c>
      <c r="K1150" t="str">
        <f t="shared" si="17"/>
        <v>DE1200-SDR41</v>
      </c>
      <c r="L1150">
        <f>VLOOKUP(K1150,'[1]Tarif - Evolution Marché'!$F:$L,7,0)</f>
        <v>263.37872362869194</v>
      </c>
    </row>
    <row r="1151" spans="1:12" x14ac:dyDescent="0.3">
      <c r="A1151" s="14" t="s">
        <v>23</v>
      </c>
      <c r="B1151" s="15">
        <v>50</v>
      </c>
      <c r="C1151" s="15" t="s">
        <v>4</v>
      </c>
      <c r="D1151" s="15">
        <v>5</v>
      </c>
      <c r="E1151" s="21">
        <v>0.7</v>
      </c>
      <c r="F1151" s="15" t="s">
        <v>18</v>
      </c>
      <c r="G1151" s="15" t="s">
        <v>17</v>
      </c>
      <c r="H1151" s="17">
        <v>46630</v>
      </c>
      <c r="I1151" s="17"/>
      <c r="J1151" s="18"/>
      <c r="K1151" t="str">
        <f t="shared" si="17"/>
        <v>DE50-SDR33</v>
      </c>
      <c r="L1151">
        <f>VLOOKUP(K1151,'[1]Tarif - Evolution Marché'!$F:$L,7,0)</f>
        <v>0.7007323839662446</v>
      </c>
    </row>
    <row r="1152" spans="1:12" x14ac:dyDescent="0.3">
      <c r="A1152" s="8" t="s">
        <v>23</v>
      </c>
      <c r="B1152" s="11">
        <v>63</v>
      </c>
      <c r="C1152" s="11" t="s">
        <v>4</v>
      </c>
      <c r="D1152" s="11">
        <v>5</v>
      </c>
      <c r="E1152" s="21">
        <v>0.97</v>
      </c>
      <c r="F1152" s="11" t="s">
        <v>18</v>
      </c>
      <c r="G1152" s="11" t="s">
        <v>17</v>
      </c>
      <c r="H1152" s="12">
        <v>46630</v>
      </c>
      <c r="I1152" s="12"/>
      <c r="J1152" s="13"/>
      <c r="K1152" t="str">
        <f t="shared" si="17"/>
        <v>DE63-SDR33</v>
      </c>
      <c r="L1152">
        <f>VLOOKUP(K1152,'[1]Tarif - Evolution Marché'!$F:$L,7,0)</f>
        <v>0.97377638185653992</v>
      </c>
    </row>
    <row r="1153" spans="1:12" x14ac:dyDescent="0.3">
      <c r="A1153" s="14" t="s">
        <v>23</v>
      </c>
      <c r="B1153" s="15">
        <v>75</v>
      </c>
      <c r="C1153" s="15" t="s">
        <v>4</v>
      </c>
      <c r="D1153" s="15">
        <v>5</v>
      </c>
      <c r="E1153" s="21">
        <v>1.35</v>
      </c>
      <c r="F1153" s="15" t="s">
        <v>18</v>
      </c>
      <c r="G1153" s="15" t="s">
        <v>17</v>
      </c>
      <c r="H1153" s="17">
        <v>46630</v>
      </c>
      <c r="I1153" s="17"/>
      <c r="J1153" s="18"/>
      <c r="K1153" t="str">
        <f t="shared" si="17"/>
        <v>DE75-SDR33</v>
      </c>
      <c r="L1153">
        <f>VLOOKUP(K1153,'[1]Tarif - Evolution Marché'!$F:$L,7,0)</f>
        <v>1.34588944092827</v>
      </c>
    </row>
    <row r="1154" spans="1:12" x14ac:dyDescent="0.3">
      <c r="A1154" s="8" t="s">
        <v>23</v>
      </c>
      <c r="B1154" s="11">
        <v>90</v>
      </c>
      <c r="C1154" s="11" t="s">
        <v>4</v>
      </c>
      <c r="D1154" s="11">
        <v>5</v>
      </c>
      <c r="E1154" s="21">
        <v>1.93</v>
      </c>
      <c r="F1154" s="11" t="s">
        <v>18</v>
      </c>
      <c r="G1154" s="11" t="s">
        <v>17</v>
      </c>
      <c r="H1154" s="12">
        <v>46630</v>
      </c>
      <c r="I1154" s="12"/>
      <c r="J1154" s="13"/>
      <c r="K1154" t="str">
        <f t="shared" si="17"/>
        <v>DE90-SDR33</v>
      </c>
      <c r="L1154">
        <f>VLOOKUP(K1154,'[1]Tarif - Evolution Marché'!$F:$L,7,0)</f>
        <v>1.9330548523206748</v>
      </c>
    </row>
    <row r="1155" spans="1:12" x14ac:dyDescent="0.3">
      <c r="A1155" s="14" t="s">
        <v>23</v>
      </c>
      <c r="B1155" s="15">
        <v>110</v>
      </c>
      <c r="C1155" s="15" t="s">
        <v>4</v>
      </c>
      <c r="D1155" s="15">
        <v>5</v>
      </c>
      <c r="E1155" s="21">
        <v>2.88</v>
      </c>
      <c r="F1155" s="15" t="s">
        <v>18</v>
      </c>
      <c r="G1155" s="15" t="s">
        <v>17</v>
      </c>
      <c r="H1155" s="17">
        <v>46630</v>
      </c>
      <c r="I1155" s="17"/>
      <c r="J1155" s="18"/>
      <c r="K1155" t="str">
        <f t="shared" ref="K1155:K1218" si="18">CONCATENATE("DE",B1155,"-",C1155)</f>
        <v>DE110-SDR33</v>
      </c>
      <c r="L1155">
        <f>VLOOKUP(K1155,'[1]Tarif - Evolution Marché'!$F:$L,7,0)</f>
        <v>2.8754190928270034</v>
      </c>
    </row>
    <row r="1156" spans="1:12" x14ac:dyDescent="0.3">
      <c r="A1156" s="8" t="s">
        <v>23</v>
      </c>
      <c r="B1156" s="11">
        <v>125</v>
      </c>
      <c r="C1156" s="11" t="s">
        <v>4</v>
      </c>
      <c r="D1156" s="11">
        <v>5</v>
      </c>
      <c r="E1156" s="21">
        <v>3.7</v>
      </c>
      <c r="F1156" s="11" t="s">
        <v>18</v>
      </c>
      <c r="G1156" s="11" t="s">
        <v>17</v>
      </c>
      <c r="H1156" s="12">
        <v>46630</v>
      </c>
      <c r="I1156" s="11">
        <v>2400</v>
      </c>
      <c r="J1156" s="13">
        <v>2800</v>
      </c>
      <c r="K1156" t="str">
        <f t="shared" si="18"/>
        <v>DE125-SDR33</v>
      </c>
      <c r="L1156">
        <f>VLOOKUP(K1156,'[1]Tarif - Evolution Marché'!$F:$L,7,0)</f>
        <v>3.6969674050632904</v>
      </c>
    </row>
    <row r="1157" spans="1:12" x14ac:dyDescent="0.3">
      <c r="A1157" s="14" t="s">
        <v>23</v>
      </c>
      <c r="B1157" s="15">
        <v>140</v>
      </c>
      <c r="C1157" s="15" t="s">
        <v>4</v>
      </c>
      <c r="D1157" s="15">
        <v>5</v>
      </c>
      <c r="E1157" s="21">
        <v>4.59</v>
      </c>
      <c r="F1157" s="15" t="s">
        <v>18</v>
      </c>
      <c r="G1157" s="15" t="s">
        <v>17</v>
      </c>
      <c r="H1157" s="17">
        <v>46630</v>
      </c>
      <c r="I1157" s="15">
        <v>1920</v>
      </c>
      <c r="J1157" s="18">
        <v>2240</v>
      </c>
      <c r="K1157" t="str">
        <f t="shared" si="18"/>
        <v>DE140-SDR33</v>
      </c>
      <c r="L1157">
        <f>VLOOKUP(K1157,'[1]Tarif - Evolution Marché'!$F:$L,7,0)</f>
        <v>4.5910052742616028</v>
      </c>
    </row>
    <row r="1158" spans="1:12" x14ac:dyDescent="0.3">
      <c r="A1158" s="8" t="s">
        <v>23</v>
      </c>
      <c r="B1158" s="11">
        <v>160</v>
      </c>
      <c r="C1158" s="11" t="s">
        <v>4</v>
      </c>
      <c r="D1158" s="11">
        <v>5</v>
      </c>
      <c r="E1158" s="21">
        <v>5.92</v>
      </c>
      <c r="F1158" s="11" t="s">
        <v>18</v>
      </c>
      <c r="G1158" s="11" t="s">
        <v>17</v>
      </c>
      <c r="H1158" s="12">
        <v>46630</v>
      </c>
      <c r="I1158" s="11">
        <v>1920</v>
      </c>
      <c r="J1158" s="13">
        <v>2240</v>
      </c>
      <c r="K1158" t="str">
        <f t="shared" si="18"/>
        <v>DE160-SDR33</v>
      </c>
      <c r="L1158">
        <f>VLOOKUP(K1158,'[1]Tarif - Evolution Marché'!$F:$L,7,0)</f>
        <v>5.9199804852320668</v>
      </c>
    </row>
    <row r="1159" spans="1:12" x14ac:dyDescent="0.3">
      <c r="A1159" s="14" t="s">
        <v>23</v>
      </c>
      <c r="B1159" s="15">
        <v>180</v>
      </c>
      <c r="C1159" s="15" t="s">
        <v>4</v>
      </c>
      <c r="D1159" s="15">
        <v>5</v>
      </c>
      <c r="E1159" s="21">
        <v>7.49</v>
      </c>
      <c r="F1159" s="15" t="s">
        <v>18</v>
      </c>
      <c r="G1159" s="15" t="s">
        <v>17</v>
      </c>
      <c r="H1159" s="17">
        <v>46630</v>
      </c>
      <c r="I1159" s="15">
        <v>1200</v>
      </c>
      <c r="J1159" s="18">
        <v>1400</v>
      </c>
      <c r="K1159" t="str">
        <f t="shared" si="18"/>
        <v>DE180-SDR33</v>
      </c>
      <c r="L1159">
        <f>VLOOKUP(K1159,'[1]Tarif - Evolution Marché'!$F:$L,7,0)</f>
        <v>7.4905875527426149</v>
      </c>
    </row>
    <row r="1160" spans="1:12" x14ac:dyDescent="0.3">
      <c r="A1160" s="8" t="s">
        <v>23</v>
      </c>
      <c r="B1160" s="11">
        <v>200</v>
      </c>
      <c r="C1160" s="11" t="s">
        <v>4</v>
      </c>
      <c r="D1160" s="11">
        <v>5</v>
      </c>
      <c r="E1160" s="21">
        <v>9.3800000000000008</v>
      </c>
      <c r="F1160" s="11" t="s">
        <v>18</v>
      </c>
      <c r="G1160" s="11" t="s">
        <v>17</v>
      </c>
      <c r="H1160" s="12">
        <v>46630</v>
      </c>
      <c r="I1160" s="11">
        <v>960</v>
      </c>
      <c r="J1160" s="13">
        <v>1120</v>
      </c>
      <c r="K1160" t="str">
        <f t="shared" si="18"/>
        <v>DE200-SDR33</v>
      </c>
      <c r="L1160">
        <f>VLOOKUP(K1160,'[1]Tarif - Evolution Marché'!$F:$L,7,0)</f>
        <v>9.3753160337552721</v>
      </c>
    </row>
    <row r="1161" spans="1:12" x14ac:dyDescent="0.3">
      <c r="A1161" s="14" t="s">
        <v>23</v>
      </c>
      <c r="B1161" s="15">
        <v>225</v>
      </c>
      <c r="C1161" s="15" t="s">
        <v>4</v>
      </c>
      <c r="D1161" s="15">
        <v>5</v>
      </c>
      <c r="E1161" s="21">
        <v>11.65</v>
      </c>
      <c r="F1161" s="15" t="s">
        <v>18</v>
      </c>
      <c r="G1161" s="15" t="s">
        <v>17</v>
      </c>
      <c r="H1161" s="17">
        <v>46630</v>
      </c>
      <c r="I1161" s="15">
        <v>960</v>
      </c>
      <c r="J1161" s="18">
        <v>1120</v>
      </c>
      <c r="K1161" t="str">
        <f t="shared" si="18"/>
        <v>DE225-SDR33</v>
      </c>
      <c r="L1161">
        <f>VLOOKUP(K1161,'[1]Tarif - Evolution Marché'!$F:$L,7,0)</f>
        <v>11.646655485232067</v>
      </c>
    </row>
    <row r="1162" spans="1:12" x14ac:dyDescent="0.3">
      <c r="A1162" s="8" t="s">
        <v>23</v>
      </c>
      <c r="B1162" s="11">
        <v>250</v>
      </c>
      <c r="C1162" s="11" t="s">
        <v>4</v>
      </c>
      <c r="D1162" s="11">
        <v>5</v>
      </c>
      <c r="E1162" s="21">
        <v>14.45</v>
      </c>
      <c r="F1162" s="11" t="s">
        <v>18</v>
      </c>
      <c r="G1162" s="11" t="s">
        <v>17</v>
      </c>
      <c r="H1162" s="12">
        <v>46630</v>
      </c>
      <c r="I1162" s="11">
        <v>672</v>
      </c>
      <c r="J1162" s="13">
        <v>784</v>
      </c>
      <c r="K1162" t="str">
        <f t="shared" si="18"/>
        <v>DE250-SDR33</v>
      </c>
      <c r="L1162">
        <f>VLOOKUP(K1162,'[1]Tarif - Evolution Marché'!$F:$L,7,0)</f>
        <v>14.449585021097045</v>
      </c>
    </row>
    <row r="1163" spans="1:12" x14ac:dyDescent="0.3">
      <c r="A1163" s="14" t="s">
        <v>23</v>
      </c>
      <c r="B1163" s="15">
        <v>280</v>
      </c>
      <c r="C1163" s="15" t="s">
        <v>4</v>
      </c>
      <c r="D1163" s="15">
        <v>5</v>
      </c>
      <c r="E1163" s="21">
        <v>18.05</v>
      </c>
      <c r="F1163" s="15" t="s">
        <v>18</v>
      </c>
      <c r="G1163" s="15" t="s">
        <v>17</v>
      </c>
      <c r="H1163" s="17">
        <v>46630</v>
      </c>
      <c r="I1163" s="15">
        <v>672</v>
      </c>
      <c r="J1163" s="18">
        <v>784</v>
      </c>
      <c r="K1163" t="str">
        <f t="shared" si="18"/>
        <v>DE280-SDR33</v>
      </c>
      <c r="L1163">
        <f>VLOOKUP(K1163,'[1]Tarif - Evolution Marché'!$F:$L,7,0)</f>
        <v>18.0498996835443</v>
      </c>
    </row>
    <row r="1164" spans="1:12" x14ac:dyDescent="0.3">
      <c r="A1164" s="8" t="s">
        <v>23</v>
      </c>
      <c r="B1164" s="11">
        <v>315</v>
      </c>
      <c r="C1164" s="11" t="s">
        <v>4</v>
      </c>
      <c r="D1164" s="11">
        <v>5</v>
      </c>
      <c r="E1164" s="21">
        <v>22.88</v>
      </c>
      <c r="F1164" s="11" t="s">
        <v>18</v>
      </c>
      <c r="G1164" s="11" t="s">
        <v>17</v>
      </c>
      <c r="H1164" s="12">
        <v>46630</v>
      </c>
      <c r="I1164" s="11">
        <v>432</v>
      </c>
      <c r="J1164" s="13">
        <v>504</v>
      </c>
      <c r="K1164" t="str">
        <f t="shared" si="18"/>
        <v>DE315-SDR33</v>
      </c>
      <c r="L1164">
        <f>VLOOKUP(K1164,'[1]Tarif - Evolution Marché'!$F:$L,7,0)</f>
        <v>22.88253681434599</v>
      </c>
    </row>
    <row r="1165" spans="1:12" x14ac:dyDescent="0.3">
      <c r="A1165" s="14" t="s">
        <v>23</v>
      </c>
      <c r="B1165" s="15">
        <v>355</v>
      </c>
      <c r="C1165" s="15" t="s">
        <v>4</v>
      </c>
      <c r="D1165" s="15">
        <v>5</v>
      </c>
      <c r="E1165" s="21">
        <v>29</v>
      </c>
      <c r="F1165" s="15" t="s">
        <v>18</v>
      </c>
      <c r="G1165" s="15" t="s">
        <v>17</v>
      </c>
      <c r="H1165" s="17">
        <v>46630</v>
      </c>
      <c r="I1165" s="15">
        <v>360</v>
      </c>
      <c r="J1165" s="18">
        <v>420</v>
      </c>
      <c r="K1165" t="str">
        <f t="shared" si="18"/>
        <v>DE355-SDR33</v>
      </c>
      <c r="L1165">
        <f>VLOOKUP(K1165,'[1]Tarif - Evolution Marché'!$F:$L,7,0)</f>
        <v>28.995822784810123</v>
      </c>
    </row>
    <row r="1166" spans="1:12" x14ac:dyDescent="0.3">
      <c r="A1166" s="8" t="s">
        <v>23</v>
      </c>
      <c r="B1166" s="11">
        <v>400</v>
      </c>
      <c r="C1166" s="11" t="s">
        <v>4</v>
      </c>
      <c r="D1166" s="11">
        <v>5</v>
      </c>
      <c r="E1166" s="21">
        <v>36.729999999999997</v>
      </c>
      <c r="F1166" s="11" t="s">
        <v>18</v>
      </c>
      <c r="G1166" s="11" t="s">
        <v>17</v>
      </c>
      <c r="H1166" s="12">
        <v>46630</v>
      </c>
      <c r="I1166" s="11">
        <v>360</v>
      </c>
      <c r="J1166" s="13">
        <v>420</v>
      </c>
      <c r="K1166" t="str">
        <f t="shared" si="18"/>
        <v>DE400-SDR33</v>
      </c>
      <c r="L1166">
        <f>VLOOKUP(K1166,'[1]Tarif - Evolution Marché'!$F:$L,7,0)</f>
        <v>36.728042194092822</v>
      </c>
    </row>
    <row r="1167" spans="1:12" x14ac:dyDescent="0.3">
      <c r="A1167" s="14" t="s">
        <v>23</v>
      </c>
      <c r="B1167" s="15">
        <v>450</v>
      </c>
      <c r="C1167" s="15" t="s">
        <v>4</v>
      </c>
      <c r="D1167" s="15">
        <v>5</v>
      </c>
      <c r="E1167" s="21">
        <v>46.39</v>
      </c>
      <c r="F1167" s="15" t="s">
        <v>18</v>
      </c>
      <c r="G1167" s="15" t="s">
        <v>17</v>
      </c>
      <c r="H1167" s="17">
        <v>46630</v>
      </c>
      <c r="I1167" s="15">
        <v>192</v>
      </c>
      <c r="J1167" s="18">
        <v>224</v>
      </c>
      <c r="K1167" t="str">
        <f t="shared" si="18"/>
        <v>DE450-SDR33</v>
      </c>
      <c r="L1167">
        <f>VLOOKUP(K1167,'[1]Tarif - Evolution Marché'!$F:$L,7,0)</f>
        <v>46.393316455696194</v>
      </c>
    </row>
    <row r="1168" spans="1:12" x14ac:dyDescent="0.3">
      <c r="A1168" s="8" t="s">
        <v>23</v>
      </c>
      <c r="B1168" s="11">
        <v>500</v>
      </c>
      <c r="C1168" s="11" t="s">
        <v>4</v>
      </c>
      <c r="D1168" s="11">
        <v>5</v>
      </c>
      <c r="E1168" s="21">
        <v>57.03</v>
      </c>
      <c r="F1168" s="11" t="s">
        <v>18</v>
      </c>
      <c r="G1168" s="11" t="s">
        <v>17</v>
      </c>
      <c r="H1168" s="12">
        <v>46630</v>
      </c>
      <c r="I1168" s="11">
        <v>192</v>
      </c>
      <c r="J1168" s="13">
        <v>224</v>
      </c>
      <c r="K1168" t="str">
        <f t="shared" si="18"/>
        <v>DE500-SDR33</v>
      </c>
      <c r="L1168">
        <f>VLOOKUP(K1168,'[1]Tarif - Evolution Marché'!$F:$L,7,0)</f>
        <v>57.025118143459906</v>
      </c>
    </row>
    <row r="1169" spans="1:12" x14ac:dyDescent="0.3">
      <c r="A1169" s="14" t="s">
        <v>23</v>
      </c>
      <c r="B1169" s="15">
        <v>560</v>
      </c>
      <c r="C1169" s="15" t="s">
        <v>4</v>
      </c>
      <c r="D1169" s="15">
        <v>5</v>
      </c>
      <c r="E1169" s="21">
        <v>71.760000000000005</v>
      </c>
      <c r="F1169" s="15" t="s">
        <v>18</v>
      </c>
      <c r="G1169" s="15" t="s">
        <v>17</v>
      </c>
      <c r="H1169" s="17">
        <v>46630</v>
      </c>
      <c r="I1169" s="15">
        <v>192</v>
      </c>
      <c r="J1169" s="18">
        <v>224</v>
      </c>
      <c r="K1169" t="str">
        <f t="shared" si="18"/>
        <v>DE560-SDR33</v>
      </c>
      <c r="L1169">
        <f>VLOOKUP(K1169,'[1]Tarif - Evolution Marché'!$F:$L,7,0)</f>
        <v>71.764661392405046</v>
      </c>
    </row>
    <row r="1170" spans="1:12" x14ac:dyDescent="0.3">
      <c r="A1170" s="8" t="s">
        <v>23</v>
      </c>
      <c r="B1170" s="11">
        <v>630</v>
      </c>
      <c r="C1170" s="11" t="s">
        <v>4</v>
      </c>
      <c r="D1170" s="11">
        <v>5</v>
      </c>
      <c r="E1170" s="21">
        <v>90.61</v>
      </c>
      <c r="F1170" s="11" t="s">
        <v>18</v>
      </c>
      <c r="G1170" s="11" t="s">
        <v>17</v>
      </c>
      <c r="H1170" s="12">
        <v>46630</v>
      </c>
      <c r="I1170" s="11">
        <v>108</v>
      </c>
      <c r="J1170" s="13">
        <v>126</v>
      </c>
      <c r="K1170" t="str">
        <f t="shared" si="18"/>
        <v>DE630-SDR33</v>
      </c>
      <c r="L1170">
        <f>VLOOKUP(K1170,'[1]Tarif - Evolution Marché'!$F:$L,7,0)</f>
        <v>90.611946202531627</v>
      </c>
    </row>
    <row r="1171" spans="1:12" x14ac:dyDescent="0.3">
      <c r="A1171" s="14" t="s">
        <v>23</v>
      </c>
      <c r="B1171" s="15">
        <v>710</v>
      </c>
      <c r="C1171" s="15" t="s">
        <v>4</v>
      </c>
      <c r="D1171" s="15">
        <v>5</v>
      </c>
      <c r="E1171" s="21">
        <v>115.26</v>
      </c>
      <c r="F1171" s="15" t="s">
        <v>18</v>
      </c>
      <c r="G1171" s="15" t="s">
        <v>17</v>
      </c>
      <c r="H1171" s="17">
        <v>46630</v>
      </c>
      <c r="I1171" s="15">
        <v>108</v>
      </c>
      <c r="J1171" s="18">
        <v>126</v>
      </c>
      <c r="K1171" t="str">
        <f t="shared" si="18"/>
        <v>DE710-SDR33</v>
      </c>
      <c r="L1171">
        <f>VLOOKUP(K1171,'[1]Tarif - Evolution Marché'!$F:$L,7,0)</f>
        <v>115.25839556962023</v>
      </c>
    </row>
    <row r="1172" spans="1:12" x14ac:dyDescent="0.3">
      <c r="A1172" s="8" t="s">
        <v>23</v>
      </c>
      <c r="B1172" s="11">
        <v>800</v>
      </c>
      <c r="C1172" s="11" t="s">
        <v>4</v>
      </c>
      <c r="D1172" s="11">
        <v>5</v>
      </c>
      <c r="E1172" s="21">
        <v>145.94999999999999</v>
      </c>
      <c r="F1172" s="11" t="s">
        <v>18</v>
      </c>
      <c r="G1172" s="11" t="s">
        <v>17</v>
      </c>
      <c r="H1172" s="12">
        <v>46630</v>
      </c>
      <c r="I1172" s="11">
        <v>108</v>
      </c>
      <c r="J1172" s="13">
        <v>126</v>
      </c>
      <c r="K1172" t="str">
        <f t="shared" si="18"/>
        <v>DE800-SDR33</v>
      </c>
      <c r="L1172">
        <f>VLOOKUP(K1172,'[1]Tarif - Evolution Marché'!$F:$L,7,0)</f>
        <v>145.94564135021093</v>
      </c>
    </row>
    <row r="1173" spans="1:12" x14ac:dyDescent="0.3">
      <c r="A1173" s="14" t="s">
        <v>23</v>
      </c>
      <c r="B1173" s="15">
        <v>900</v>
      </c>
      <c r="C1173" s="15" t="s">
        <v>4</v>
      </c>
      <c r="D1173" s="15">
        <v>5</v>
      </c>
      <c r="E1173" s="21">
        <v>184.61</v>
      </c>
      <c r="F1173" s="15" t="s">
        <v>18</v>
      </c>
      <c r="G1173" s="15" t="s">
        <v>17</v>
      </c>
      <c r="H1173" s="17">
        <v>46630</v>
      </c>
      <c r="I1173" s="15">
        <v>72</v>
      </c>
      <c r="J1173" s="18">
        <v>84</v>
      </c>
      <c r="K1173" t="str">
        <f t="shared" si="18"/>
        <v>DE900-SDR33</v>
      </c>
      <c r="L1173">
        <f>VLOOKUP(K1173,'[1]Tarif - Evolution Marché'!$F:$L,7,0)</f>
        <v>184.60673839662445</v>
      </c>
    </row>
    <row r="1174" spans="1:12" x14ac:dyDescent="0.3">
      <c r="A1174" s="8" t="s">
        <v>23</v>
      </c>
      <c r="B1174" s="11">
        <v>1000</v>
      </c>
      <c r="C1174" s="11" t="s">
        <v>4</v>
      </c>
      <c r="D1174" s="11">
        <v>5</v>
      </c>
      <c r="E1174" s="21">
        <v>227.38</v>
      </c>
      <c r="F1174" s="11" t="s">
        <v>18</v>
      </c>
      <c r="G1174" s="11" t="s">
        <v>17</v>
      </c>
      <c r="H1174" s="12">
        <v>46630</v>
      </c>
      <c r="I1174" s="11">
        <v>48</v>
      </c>
      <c r="J1174" s="13">
        <v>56</v>
      </c>
      <c r="K1174" t="str">
        <f t="shared" si="18"/>
        <v>DE1000-SDR33</v>
      </c>
      <c r="L1174">
        <f>VLOOKUP(K1174,'[1]Tarif - Evolution Marché'!$F:$L,7,0)</f>
        <v>227.37557700421937</v>
      </c>
    </row>
    <row r="1175" spans="1:12" x14ac:dyDescent="0.3">
      <c r="A1175" s="14" t="s">
        <v>23</v>
      </c>
      <c r="B1175" s="15">
        <v>1200</v>
      </c>
      <c r="C1175" s="15" t="s">
        <v>4</v>
      </c>
      <c r="D1175" s="15">
        <v>5</v>
      </c>
      <c r="E1175" s="21">
        <v>326.2</v>
      </c>
      <c r="F1175" s="15" t="s">
        <v>18</v>
      </c>
      <c r="G1175" s="15" t="s">
        <v>17</v>
      </c>
      <c r="H1175" s="17">
        <v>46630</v>
      </c>
      <c r="I1175" s="15">
        <v>36</v>
      </c>
      <c r="J1175" s="18">
        <v>42</v>
      </c>
      <c r="K1175" t="str">
        <f t="shared" si="18"/>
        <v>DE1200-SDR33</v>
      </c>
      <c r="L1175">
        <f>VLOOKUP(K1175,'[1]Tarif - Evolution Marché'!$F:$L,7,0)</f>
        <v>326.20300632911386</v>
      </c>
    </row>
    <row r="1176" spans="1:12" x14ac:dyDescent="0.3">
      <c r="A1176" s="8" t="s">
        <v>23</v>
      </c>
      <c r="B1176" s="11">
        <v>40</v>
      </c>
      <c r="C1176" s="11" t="s">
        <v>5</v>
      </c>
      <c r="D1176" s="11">
        <v>6</v>
      </c>
      <c r="E1176" s="21">
        <v>0.55000000000000004</v>
      </c>
      <c r="F1176" s="11" t="s">
        <v>18</v>
      </c>
      <c r="G1176" s="11" t="s">
        <v>17</v>
      </c>
      <c r="H1176" s="12">
        <v>46630</v>
      </c>
      <c r="I1176" s="12"/>
      <c r="J1176" s="13"/>
      <c r="K1176" t="str">
        <f t="shared" si="18"/>
        <v>DE40-SDR26</v>
      </c>
      <c r="L1176">
        <f>VLOOKUP(K1176,'[1]Tarif - Evolution Marché'!$F:$L,7,0)</f>
        <v>0.55333695147679318</v>
      </c>
    </row>
    <row r="1177" spans="1:12" x14ac:dyDescent="0.3">
      <c r="A1177" s="14" t="s">
        <v>23</v>
      </c>
      <c r="B1177" s="15">
        <v>50</v>
      </c>
      <c r="C1177" s="15" t="s">
        <v>5</v>
      </c>
      <c r="D1177" s="15">
        <v>6</v>
      </c>
      <c r="E1177" s="21">
        <v>0.77</v>
      </c>
      <c r="F1177" s="15" t="s">
        <v>18</v>
      </c>
      <c r="G1177" s="15" t="s">
        <v>17</v>
      </c>
      <c r="H1177" s="17">
        <v>46630</v>
      </c>
      <c r="I1177" s="17"/>
      <c r="J1177" s="18"/>
      <c r="K1177" t="str">
        <f t="shared" si="18"/>
        <v>DE50-SDR26</v>
      </c>
      <c r="L1177">
        <f>VLOOKUP(K1177,'[1]Tarif - Evolution Marché'!$F:$L,7,0)</f>
        <v>0.76597298523206736</v>
      </c>
    </row>
    <row r="1178" spans="1:12" x14ac:dyDescent="0.3">
      <c r="A1178" s="8" t="s">
        <v>23</v>
      </c>
      <c r="B1178" s="11">
        <v>63</v>
      </c>
      <c r="C1178" s="11" t="s">
        <v>5</v>
      </c>
      <c r="D1178" s="11">
        <v>6</v>
      </c>
      <c r="E1178" s="21">
        <v>1.21</v>
      </c>
      <c r="F1178" s="11" t="s">
        <v>18</v>
      </c>
      <c r="G1178" s="11" t="s">
        <v>17</v>
      </c>
      <c r="H1178" s="12">
        <v>46630</v>
      </c>
      <c r="I1178" s="12"/>
      <c r="J1178" s="13"/>
      <c r="K1178" t="str">
        <f t="shared" si="18"/>
        <v>DE63-SDR26</v>
      </c>
      <c r="L1178">
        <f>VLOOKUP(K1178,'[1]Tarif - Evolution Marché'!$F:$L,7,0)</f>
        <v>1.2081592827004217</v>
      </c>
    </row>
    <row r="1179" spans="1:12" x14ac:dyDescent="0.3">
      <c r="A1179" s="14" t="s">
        <v>23</v>
      </c>
      <c r="B1179" s="15">
        <v>75</v>
      </c>
      <c r="C1179" s="15" t="s">
        <v>5</v>
      </c>
      <c r="D1179" s="15">
        <v>6</v>
      </c>
      <c r="E1179" s="21">
        <v>1.65</v>
      </c>
      <c r="F1179" s="15" t="s">
        <v>18</v>
      </c>
      <c r="G1179" s="15" t="s">
        <v>17</v>
      </c>
      <c r="H1179" s="17">
        <v>46630</v>
      </c>
      <c r="I1179" s="17"/>
      <c r="J1179" s="18"/>
      <c r="K1179" t="str">
        <f t="shared" si="18"/>
        <v>DE75-SDR26</v>
      </c>
      <c r="L1179">
        <f>VLOOKUP(K1179,'[1]Tarif - Evolution Marché'!$F:$L,7,0)</f>
        <v>1.6503455801687763</v>
      </c>
    </row>
    <row r="1180" spans="1:12" x14ac:dyDescent="0.3">
      <c r="A1180" s="8" t="s">
        <v>23</v>
      </c>
      <c r="B1180" s="11">
        <v>90</v>
      </c>
      <c r="C1180" s="11" t="s">
        <v>5</v>
      </c>
      <c r="D1180" s="11">
        <v>6</v>
      </c>
      <c r="E1180" s="21">
        <v>2.39</v>
      </c>
      <c r="F1180" s="11" t="s">
        <v>18</v>
      </c>
      <c r="G1180" s="11" t="s">
        <v>17</v>
      </c>
      <c r="H1180" s="12">
        <v>46630</v>
      </c>
      <c r="I1180" s="12"/>
      <c r="J1180" s="13"/>
      <c r="K1180" t="str">
        <f t="shared" si="18"/>
        <v>DE90-SDR26</v>
      </c>
      <c r="L1180">
        <f>VLOOKUP(K1180,'[1]Tarif - Evolution Marché'!$F:$L,7,0)</f>
        <v>2.3873227426160333</v>
      </c>
    </row>
    <row r="1181" spans="1:12" x14ac:dyDescent="0.3">
      <c r="A1181" s="14" t="s">
        <v>23</v>
      </c>
      <c r="B1181" s="15">
        <v>110</v>
      </c>
      <c r="C1181" s="15" t="s">
        <v>5</v>
      </c>
      <c r="D1181" s="15">
        <v>6</v>
      </c>
      <c r="E1181" s="21">
        <v>3.5</v>
      </c>
      <c r="F1181" s="15" t="s">
        <v>18</v>
      </c>
      <c r="G1181" s="15" t="s">
        <v>17</v>
      </c>
      <c r="H1181" s="17">
        <v>46630</v>
      </c>
      <c r="I1181" s="17"/>
      <c r="J1181" s="18"/>
      <c r="K1181" t="str">
        <f t="shared" si="18"/>
        <v>DE110-SDR26</v>
      </c>
      <c r="L1181">
        <f>VLOOKUP(K1181,'[1]Tarif - Evolution Marché'!$F:$L,7,0)</f>
        <v>3.5036619198312229</v>
      </c>
    </row>
    <row r="1182" spans="1:12" x14ac:dyDescent="0.3">
      <c r="A1182" s="8" t="s">
        <v>23</v>
      </c>
      <c r="B1182" s="11">
        <v>125</v>
      </c>
      <c r="C1182" s="11" t="s">
        <v>5</v>
      </c>
      <c r="D1182" s="11">
        <v>6</v>
      </c>
      <c r="E1182" s="21">
        <v>4.49</v>
      </c>
      <c r="F1182" s="11" t="s">
        <v>18</v>
      </c>
      <c r="G1182" s="11" t="s">
        <v>17</v>
      </c>
      <c r="H1182" s="12">
        <v>46630</v>
      </c>
      <c r="I1182" s="11">
        <v>2400</v>
      </c>
      <c r="J1182" s="13">
        <v>2800</v>
      </c>
      <c r="K1182" t="str">
        <f t="shared" si="18"/>
        <v>DE125-SDR26</v>
      </c>
      <c r="L1182">
        <f>VLOOKUP(K1182,'[1]Tarif - Evolution Marché'!$F:$L,7,0)</f>
        <v>4.4943525316455695</v>
      </c>
    </row>
    <row r="1183" spans="1:12" x14ac:dyDescent="0.3">
      <c r="A1183" s="14" t="s">
        <v>23</v>
      </c>
      <c r="B1183" s="15">
        <v>140</v>
      </c>
      <c r="C1183" s="15" t="s">
        <v>5</v>
      </c>
      <c r="D1183" s="15">
        <v>6</v>
      </c>
      <c r="E1183" s="21">
        <v>5.68</v>
      </c>
      <c r="F1183" s="15" t="s">
        <v>18</v>
      </c>
      <c r="G1183" s="15" t="s">
        <v>17</v>
      </c>
      <c r="H1183" s="17">
        <v>46630</v>
      </c>
      <c r="I1183" s="15">
        <v>1920</v>
      </c>
      <c r="J1183" s="18">
        <v>2240</v>
      </c>
      <c r="K1183" t="str">
        <f t="shared" si="18"/>
        <v>DE140-SDR26</v>
      </c>
      <c r="L1183">
        <f>VLOOKUP(K1183,'[1]Tarif - Evolution Marché'!$F:$L,7,0)</f>
        <v>5.6783486286919826</v>
      </c>
    </row>
    <row r="1184" spans="1:12" x14ac:dyDescent="0.3">
      <c r="A1184" s="8" t="s">
        <v>23</v>
      </c>
      <c r="B1184" s="11">
        <v>160</v>
      </c>
      <c r="C1184" s="11" t="s">
        <v>5</v>
      </c>
      <c r="D1184" s="11">
        <v>6</v>
      </c>
      <c r="E1184" s="21">
        <v>7.44</v>
      </c>
      <c r="F1184" s="11" t="s">
        <v>18</v>
      </c>
      <c r="G1184" s="11" t="s">
        <v>17</v>
      </c>
      <c r="H1184" s="12">
        <v>46630</v>
      </c>
      <c r="I1184" s="11">
        <v>1920</v>
      </c>
      <c r="J1184" s="13">
        <v>2240</v>
      </c>
      <c r="K1184" t="str">
        <f t="shared" si="18"/>
        <v>DE160-SDR26</v>
      </c>
      <c r="L1184">
        <f>VLOOKUP(K1184,'[1]Tarif - Evolution Marché'!$F:$L,7,0)</f>
        <v>7.4422611814345982</v>
      </c>
    </row>
    <row r="1185" spans="1:12" x14ac:dyDescent="0.3">
      <c r="A1185" s="14" t="s">
        <v>23</v>
      </c>
      <c r="B1185" s="15">
        <v>180</v>
      </c>
      <c r="C1185" s="15" t="s">
        <v>5</v>
      </c>
      <c r="D1185" s="15">
        <v>6</v>
      </c>
      <c r="E1185" s="21">
        <v>9.25</v>
      </c>
      <c r="F1185" s="15" t="s">
        <v>18</v>
      </c>
      <c r="G1185" s="15" t="s">
        <v>17</v>
      </c>
      <c r="H1185" s="17">
        <v>46630</v>
      </c>
      <c r="I1185" s="15">
        <v>1200</v>
      </c>
      <c r="J1185" s="18">
        <v>1400</v>
      </c>
      <c r="K1185" t="str">
        <f t="shared" si="18"/>
        <v>DE180-SDR26</v>
      </c>
      <c r="L1185">
        <f>VLOOKUP(K1185,'[1]Tarif - Evolution Marché'!$F:$L,7,0)</f>
        <v>9.2545001054852314</v>
      </c>
    </row>
    <row r="1186" spans="1:12" x14ac:dyDescent="0.3">
      <c r="A1186" s="8" t="s">
        <v>23</v>
      </c>
      <c r="B1186" s="11">
        <v>200</v>
      </c>
      <c r="C1186" s="11" t="s">
        <v>5</v>
      </c>
      <c r="D1186" s="11">
        <v>6</v>
      </c>
      <c r="E1186" s="21">
        <v>11.45</v>
      </c>
      <c r="F1186" s="11" t="s">
        <v>18</v>
      </c>
      <c r="G1186" s="11" t="s">
        <v>17</v>
      </c>
      <c r="H1186" s="12">
        <v>46630</v>
      </c>
      <c r="I1186" s="11">
        <v>960</v>
      </c>
      <c r="J1186" s="13">
        <v>1120</v>
      </c>
      <c r="K1186" t="str">
        <f t="shared" si="18"/>
        <v>DE200-SDR26</v>
      </c>
      <c r="L1186">
        <f>VLOOKUP(K1186,'[1]Tarif - Evolution Marché'!$F:$L,7,0)</f>
        <v>11.453349999999999</v>
      </c>
    </row>
    <row r="1187" spans="1:12" x14ac:dyDescent="0.3">
      <c r="A1187" s="14" t="s">
        <v>23</v>
      </c>
      <c r="B1187" s="15">
        <v>225</v>
      </c>
      <c r="C1187" s="15" t="s">
        <v>5</v>
      </c>
      <c r="D1187" s="15">
        <v>6</v>
      </c>
      <c r="E1187" s="21">
        <v>14.4</v>
      </c>
      <c r="F1187" s="15" t="s">
        <v>18</v>
      </c>
      <c r="G1187" s="15" t="s">
        <v>17</v>
      </c>
      <c r="H1187" s="17">
        <v>46630</v>
      </c>
      <c r="I1187" s="15">
        <v>960</v>
      </c>
      <c r="J1187" s="18">
        <v>1120</v>
      </c>
      <c r="K1187" t="str">
        <f t="shared" si="18"/>
        <v>DE225-SDR26</v>
      </c>
      <c r="L1187">
        <f>VLOOKUP(K1187,'[1]Tarif - Evolution Marché'!$F:$L,7,0)</f>
        <v>14.401258649789026</v>
      </c>
    </row>
    <row r="1188" spans="1:12" x14ac:dyDescent="0.3">
      <c r="A1188" s="8" t="s">
        <v>23</v>
      </c>
      <c r="B1188" s="11">
        <v>250</v>
      </c>
      <c r="C1188" s="11" t="s">
        <v>5</v>
      </c>
      <c r="D1188" s="11">
        <v>6</v>
      </c>
      <c r="E1188" s="21">
        <v>17.829999999999998</v>
      </c>
      <c r="F1188" s="11" t="s">
        <v>18</v>
      </c>
      <c r="G1188" s="11" t="s">
        <v>17</v>
      </c>
      <c r="H1188" s="12">
        <v>46630</v>
      </c>
      <c r="I1188" s="11">
        <v>672</v>
      </c>
      <c r="J1188" s="13">
        <v>784</v>
      </c>
      <c r="K1188" t="str">
        <f t="shared" si="18"/>
        <v>DE250-SDR26</v>
      </c>
      <c r="L1188">
        <f>VLOOKUP(K1188,'[1]Tarif - Evolution Marché'!$F:$L,7,0)</f>
        <v>17.832431012658223</v>
      </c>
    </row>
    <row r="1189" spans="1:12" x14ac:dyDescent="0.3">
      <c r="A1189" s="14" t="s">
        <v>23</v>
      </c>
      <c r="B1189" s="15">
        <v>280</v>
      </c>
      <c r="C1189" s="15" t="s">
        <v>5</v>
      </c>
      <c r="D1189" s="15">
        <v>6</v>
      </c>
      <c r="E1189" s="21">
        <v>22.23</v>
      </c>
      <c r="F1189" s="15" t="s">
        <v>18</v>
      </c>
      <c r="G1189" s="15" t="s">
        <v>17</v>
      </c>
      <c r="H1189" s="17">
        <v>46630</v>
      </c>
      <c r="I1189" s="15">
        <v>672</v>
      </c>
      <c r="J1189" s="18">
        <v>784</v>
      </c>
      <c r="K1189" t="str">
        <f t="shared" si="18"/>
        <v>DE280-SDR26</v>
      </c>
      <c r="L1189">
        <f>VLOOKUP(K1189,'[1]Tarif - Evolution Marché'!$F:$L,7,0)</f>
        <v>22.230130801687757</v>
      </c>
    </row>
    <row r="1190" spans="1:12" x14ac:dyDescent="0.3">
      <c r="A1190" s="8" t="s">
        <v>23</v>
      </c>
      <c r="B1190" s="11">
        <v>315</v>
      </c>
      <c r="C1190" s="11" t="s">
        <v>5</v>
      </c>
      <c r="D1190" s="11">
        <v>6</v>
      </c>
      <c r="E1190" s="21">
        <v>28.27</v>
      </c>
      <c r="F1190" s="11" t="s">
        <v>18</v>
      </c>
      <c r="G1190" s="11" t="s">
        <v>17</v>
      </c>
      <c r="H1190" s="12">
        <v>46630</v>
      </c>
      <c r="I1190" s="11">
        <v>432</v>
      </c>
      <c r="J1190" s="13">
        <v>504</v>
      </c>
      <c r="K1190" t="str">
        <f t="shared" si="18"/>
        <v>DE315-SDR26</v>
      </c>
      <c r="L1190">
        <f>VLOOKUP(K1190,'[1]Tarif - Evolution Marché'!$F:$L,7,0)</f>
        <v>28.270927215189868</v>
      </c>
    </row>
    <row r="1191" spans="1:12" x14ac:dyDescent="0.3">
      <c r="A1191" s="14" t="s">
        <v>23</v>
      </c>
      <c r="B1191" s="15">
        <v>355</v>
      </c>
      <c r="C1191" s="15" t="s">
        <v>5</v>
      </c>
      <c r="D1191" s="15">
        <v>6</v>
      </c>
      <c r="E1191" s="21">
        <v>35.76</v>
      </c>
      <c r="F1191" s="15" t="s">
        <v>18</v>
      </c>
      <c r="G1191" s="15" t="s">
        <v>17</v>
      </c>
      <c r="H1191" s="17">
        <v>46630</v>
      </c>
      <c r="I1191" s="15">
        <v>360</v>
      </c>
      <c r="J1191" s="18">
        <v>420</v>
      </c>
      <c r="K1191" t="str">
        <f t="shared" si="18"/>
        <v>DE355-SDR26</v>
      </c>
      <c r="L1191">
        <f>VLOOKUP(K1191,'[1]Tarif - Evolution Marché'!$F:$L,7,0)</f>
        <v>35.761514767932482</v>
      </c>
    </row>
    <row r="1192" spans="1:12" x14ac:dyDescent="0.3">
      <c r="A1192" s="8" t="s">
        <v>23</v>
      </c>
      <c r="B1192" s="11">
        <v>400</v>
      </c>
      <c r="C1192" s="11" t="s">
        <v>5</v>
      </c>
      <c r="D1192" s="11">
        <v>6</v>
      </c>
      <c r="E1192" s="21">
        <v>45.43</v>
      </c>
      <c r="F1192" s="11" t="s">
        <v>18</v>
      </c>
      <c r="G1192" s="11" t="s">
        <v>17</v>
      </c>
      <c r="H1192" s="12">
        <v>46630</v>
      </c>
      <c r="I1192" s="11">
        <v>360</v>
      </c>
      <c r="J1192" s="13">
        <v>420</v>
      </c>
      <c r="K1192" t="str">
        <f t="shared" si="18"/>
        <v>DE400-SDR26</v>
      </c>
      <c r="L1192">
        <f>VLOOKUP(K1192,'[1]Tarif - Evolution Marché'!$F:$L,7,0)</f>
        <v>45.426789029535861</v>
      </c>
    </row>
    <row r="1193" spans="1:12" x14ac:dyDescent="0.3">
      <c r="A1193" s="14" t="s">
        <v>23</v>
      </c>
      <c r="B1193" s="15">
        <v>450</v>
      </c>
      <c r="C1193" s="15" t="s">
        <v>5</v>
      </c>
      <c r="D1193" s="15">
        <v>6</v>
      </c>
      <c r="E1193" s="21">
        <v>57.27</v>
      </c>
      <c r="F1193" s="15" t="s">
        <v>18</v>
      </c>
      <c r="G1193" s="15" t="s">
        <v>17</v>
      </c>
      <c r="H1193" s="17">
        <v>46630</v>
      </c>
      <c r="I1193" s="15">
        <v>192</v>
      </c>
      <c r="J1193" s="18">
        <v>224</v>
      </c>
      <c r="K1193" t="str">
        <f t="shared" si="18"/>
        <v>DE450-SDR26</v>
      </c>
      <c r="L1193">
        <f>VLOOKUP(K1193,'[1]Tarif - Evolution Marché'!$F:$L,7,0)</f>
        <v>57.266749999999988</v>
      </c>
    </row>
    <row r="1194" spans="1:12" x14ac:dyDescent="0.3">
      <c r="A1194" s="8" t="s">
        <v>23</v>
      </c>
      <c r="B1194" s="11">
        <v>500</v>
      </c>
      <c r="C1194" s="11" t="s">
        <v>5</v>
      </c>
      <c r="D1194" s="11">
        <v>6</v>
      </c>
      <c r="E1194" s="21">
        <v>70.56</v>
      </c>
      <c r="F1194" s="11" t="s">
        <v>18</v>
      </c>
      <c r="G1194" s="11" t="s">
        <v>17</v>
      </c>
      <c r="H1194" s="12">
        <v>46630</v>
      </c>
      <c r="I1194" s="11">
        <v>192</v>
      </c>
      <c r="J1194" s="13">
        <v>224</v>
      </c>
      <c r="K1194" t="str">
        <f t="shared" si="18"/>
        <v>DE500-SDR26</v>
      </c>
      <c r="L1194">
        <f>VLOOKUP(K1194,'[1]Tarif - Evolution Marché'!$F:$L,7,0)</f>
        <v>70.556502109704624</v>
      </c>
    </row>
    <row r="1195" spans="1:12" x14ac:dyDescent="0.3">
      <c r="A1195" s="14" t="s">
        <v>23</v>
      </c>
      <c r="B1195" s="15">
        <v>560</v>
      </c>
      <c r="C1195" s="15" t="s">
        <v>5</v>
      </c>
      <c r="D1195" s="15">
        <v>6</v>
      </c>
      <c r="E1195" s="21">
        <v>88.44</v>
      </c>
      <c r="F1195" s="15" t="s">
        <v>18</v>
      </c>
      <c r="G1195" s="15" t="s">
        <v>17</v>
      </c>
      <c r="H1195" s="17">
        <v>46630</v>
      </c>
      <c r="I1195" s="15">
        <v>192</v>
      </c>
      <c r="J1195" s="18">
        <v>224</v>
      </c>
      <c r="K1195" t="str">
        <f t="shared" si="18"/>
        <v>DE560-SDR26</v>
      </c>
      <c r="L1195">
        <f>VLOOKUP(K1195,'[1]Tarif - Evolution Marché'!$F:$L,7,0)</f>
        <v>88.437259493670879</v>
      </c>
    </row>
    <row r="1196" spans="1:12" x14ac:dyDescent="0.3">
      <c r="A1196" s="8" t="s">
        <v>23</v>
      </c>
      <c r="B1196" s="11">
        <v>630</v>
      </c>
      <c r="C1196" s="11" t="s">
        <v>5</v>
      </c>
      <c r="D1196" s="11">
        <v>6</v>
      </c>
      <c r="E1196" s="21">
        <v>112.12</v>
      </c>
      <c r="F1196" s="11" t="s">
        <v>18</v>
      </c>
      <c r="G1196" s="11" t="s">
        <v>17</v>
      </c>
      <c r="H1196" s="12">
        <v>46630</v>
      </c>
      <c r="I1196" s="11">
        <v>108</v>
      </c>
      <c r="J1196" s="13">
        <v>126</v>
      </c>
      <c r="K1196" t="str">
        <f t="shared" si="18"/>
        <v>DE630-SDR26</v>
      </c>
      <c r="L1196">
        <f>VLOOKUP(K1196,'[1]Tarif - Evolution Marché'!$F:$L,7,0)</f>
        <v>112.11718143459913</v>
      </c>
    </row>
    <row r="1197" spans="1:12" x14ac:dyDescent="0.3">
      <c r="A1197" s="14" t="s">
        <v>23</v>
      </c>
      <c r="B1197" s="15">
        <v>710</v>
      </c>
      <c r="C1197" s="15" t="s">
        <v>5</v>
      </c>
      <c r="D1197" s="15">
        <v>6</v>
      </c>
      <c r="E1197" s="21">
        <v>142.56</v>
      </c>
      <c r="F1197" s="15" t="s">
        <v>18</v>
      </c>
      <c r="G1197" s="15" t="s">
        <v>17</v>
      </c>
      <c r="H1197" s="17">
        <v>46630</v>
      </c>
      <c r="I1197" s="15">
        <v>108</v>
      </c>
      <c r="J1197" s="18">
        <v>126</v>
      </c>
      <c r="K1197" t="str">
        <f t="shared" si="18"/>
        <v>DE710-SDR26</v>
      </c>
      <c r="L1197">
        <f>VLOOKUP(K1197,'[1]Tarif - Evolution Marché'!$F:$L,7,0)</f>
        <v>142.56279535864977</v>
      </c>
    </row>
    <row r="1198" spans="1:12" x14ac:dyDescent="0.3">
      <c r="A1198" s="8" t="s">
        <v>23</v>
      </c>
      <c r="B1198" s="11">
        <v>800</v>
      </c>
      <c r="C1198" s="11" t="s">
        <v>5</v>
      </c>
      <c r="D1198" s="11">
        <v>6</v>
      </c>
      <c r="E1198" s="21">
        <v>180.5</v>
      </c>
      <c r="F1198" s="11" t="s">
        <v>18</v>
      </c>
      <c r="G1198" s="11" t="s">
        <v>17</v>
      </c>
      <c r="H1198" s="12">
        <v>46630</v>
      </c>
      <c r="I1198" s="11">
        <v>108</v>
      </c>
      <c r="J1198" s="13">
        <v>126</v>
      </c>
      <c r="K1198" t="str">
        <f t="shared" si="18"/>
        <v>DE800-SDR26</v>
      </c>
      <c r="L1198">
        <f>VLOOKUP(K1198,'[1]Tarif - Evolution Marché'!$F:$L,7,0)</f>
        <v>180.49899683544302</v>
      </c>
    </row>
    <row r="1199" spans="1:12" x14ac:dyDescent="0.3">
      <c r="A1199" s="14" t="s">
        <v>23</v>
      </c>
      <c r="B1199" s="15">
        <v>900</v>
      </c>
      <c r="C1199" s="15" t="s">
        <v>5</v>
      </c>
      <c r="D1199" s="15">
        <v>6</v>
      </c>
      <c r="E1199" s="21">
        <v>228.1</v>
      </c>
      <c r="F1199" s="15" t="s">
        <v>18</v>
      </c>
      <c r="G1199" s="15" t="s">
        <v>17</v>
      </c>
      <c r="H1199" s="17">
        <v>46630</v>
      </c>
      <c r="I1199" s="15">
        <v>72</v>
      </c>
      <c r="J1199" s="18">
        <v>84</v>
      </c>
      <c r="K1199" t="str">
        <f t="shared" si="18"/>
        <v>DE900-SDR26</v>
      </c>
      <c r="L1199">
        <f>VLOOKUP(K1199,'[1]Tarif - Evolution Marché'!$F:$L,7,0)</f>
        <v>228.10047257383962</v>
      </c>
    </row>
    <row r="1200" spans="1:12" x14ac:dyDescent="0.3">
      <c r="A1200" s="8" t="s">
        <v>23</v>
      </c>
      <c r="B1200" s="11">
        <v>1000</v>
      </c>
      <c r="C1200" s="11" t="s">
        <v>5</v>
      </c>
      <c r="D1200" s="11">
        <v>6</v>
      </c>
      <c r="E1200" s="21">
        <v>282.70999999999998</v>
      </c>
      <c r="F1200" s="11" t="s">
        <v>18</v>
      </c>
      <c r="G1200" s="11" t="s">
        <v>17</v>
      </c>
      <c r="H1200" s="12">
        <v>46630</v>
      </c>
      <c r="I1200" s="11">
        <v>48</v>
      </c>
      <c r="J1200" s="13">
        <v>56</v>
      </c>
      <c r="K1200" t="str">
        <f t="shared" si="18"/>
        <v>DE1000-SDR26</v>
      </c>
      <c r="L1200">
        <f>VLOOKUP(K1200,'[1]Tarif - Evolution Marché'!$F:$L,7,0)</f>
        <v>282.70927215189869</v>
      </c>
    </row>
    <row r="1201" spans="1:12" x14ac:dyDescent="0.3">
      <c r="A1201" s="14" t="s">
        <v>23</v>
      </c>
      <c r="B1201" s="15">
        <v>1200</v>
      </c>
      <c r="C1201" s="15" t="s">
        <v>5</v>
      </c>
      <c r="D1201" s="15">
        <v>6</v>
      </c>
      <c r="E1201" s="21">
        <v>405.94</v>
      </c>
      <c r="F1201" s="15" t="s">
        <v>18</v>
      </c>
      <c r="G1201" s="15" t="s">
        <v>17</v>
      </c>
      <c r="H1201" s="17">
        <v>46630</v>
      </c>
      <c r="I1201" s="15">
        <v>36</v>
      </c>
      <c r="J1201" s="18">
        <v>42</v>
      </c>
      <c r="K1201" t="str">
        <f t="shared" si="18"/>
        <v>DE1200-SDR26</v>
      </c>
      <c r="L1201">
        <f>VLOOKUP(K1201,'[1]Tarif - Evolution Marché'!$F:$L,7,0)</f>
        <v>405.94151898734168</v>
      </c>
    </row>
    <row r="1202" spans="1:12" x14ac:dyDescent="0.3">
      <c r="A1202" s="8" t="s">
        <v>23</v>
      </c>
      <c r="B1202" s="11">
        <v>40</v>
      </c>
      <c r="C1202" s="11" t="s">
        <v>6</v>
      </c>
      <c r="D1202" s="11">
        <v>8</v>
      </c>
      <c r="E1202" s="21">
        <v>0.61</v>
      </c>
      <c r="F1202" s="11" t="s">
        <v>18</v>
      </c>
      <c r="G1202" s="11" t="s">
        <v>17</v>
      </c>
      <c r="H1202" s="12">
        <v>46630</v>
      </c>
      <c r="I1202" s="12"/>
      <c r="J1202" s="13"/>
      <c r="K1202" t="str">
        <f t="shared" si="18"/>
        <v>DE40-SDR21</v>
      </c>
      <c r="L1202">
        <f>VLOOKUP(K1202,'[1]Tarif - Evolution Marché'!$F:$L,7,0)</f>
        <v>0.60649595991561167</v>
      </c>
    </row>
    <row r="1203" spans="1:12" x14ac:dyDescent="0.3">
      <c r="A1203" s="14" t="s">
        <v>23</v>
      </c>
      <c r="B1203" s="15">
        <v>50</v>
      </c>
      <c r="C1203" s="15" t="s">
        <v>6</v>
      </c>
      <c r="D1203" s="15">
        <v>8</v>
      </c>
      <c r="E1203" s="21">
        <v>0.91</v>
      </c>
      <c r="F1203" s="15" t="s">
        <v>18</v>
      </c>
      <c r="G1203" s="15" t="s">
        <v>17</v>
      </c>
      <c r="H1203" s="17">
        <v>46630</v>
      </c>
      <c r="I1203" s="17"/>
      <c r="J1203" s="18"/>
      <c r="K1203" t="str">
        <f t="shared" si="18"/>
        <v>DE50-SDR21</v>
      </c>
      <c r="L1203">
        <f>VLOOKUP(K1203,'[1]Tarif - Evolution Marché'!$F:$L,7,0)</f>
        <v>0.91336841772151878</v>
      </c>
    </row>
    <row r="1204" spans="1:12" x14ac:dyDescent="0.3">
      <c r="A1204" s="8" t="s">
        <v>23</v>
      </c>
      <c r="B1204" s="11">
        <v>63</v>
      </c>
      <c r="C1204" s="11" t="s">
        <v>6</v>
      </c>
      <c r="D1204" s="11">
        <v>8</v>
      </c>
      <c r="E1204" s="21">
        <v>1.42</v>
      </c>
      <c r="F1204" s="11" t="s">
        <v>18</v>
      </c>
      <c r="G1204" s="11" t="s">
        <v>17</v>
      </c>
      <c r="H1204" s="12">
        <v>46630</v>
      </c>
      <c r="I1204" s="12"/>
      <c r="J1204" s="13"/>
      <c r="K1204" t="str">
        <f t="shared" si="18"/>
        <v>DE63-SDR21</v>
      </c>
      <c r="L1204">
        <f>VLOOKUP(K1204,'[1]Tarif - Evolution Marché'!$F:$L,7,0)</f>
        <v>1.4159626793248943</v>
      </c>
    </row>
    <row r="1205" spans="1:12" x14ac:dyDescent="0.3">
      <c r="A1205" s="14" t="s">
        <v>23</v>
      </c>
      <c r="B1205" s="15">
        <v>75</v>
      </c>
      <c r="C1205" s="15" t="s">
        <v>6</v>
      </c>
      <c r="D1205" s="15">
        <v>8</v>
      </c>
      <c r="E1205" s="21">
        <v>2.02</v>
      </c>
      <c r="F1205" s="15" t="s">
        <v>18</v>
      </c>
      <c r="G1205" s="15" t="s">
        <v>17</v>
      </c>
      <c r="H1205" s="17">
        <v>46630</v>
      </c>
      <c r="I1205" s="17"/>
      <c r="J1205" s="18"/>
      <c r="K1205" t="str">
        <f t="shared" si="18"/>
        <v>DE75-SDR21</v>
      </c>
      <c r="L1205">
        <f>VLOOKUP(K1205,'[1]Tarif - Evolution Marché'!$F:$L,7,0)</f>
        <v>2.0200423206751053</v>
      </c>
    </row>
    <row r="1206" spans="1:12" x14ac:dyDescent="0.3">
      <c r="A1206" s="8" t="s">
        <v>23</v>
      </c>
      <c r="B1206" s="11">
        <v>90</v>
      </c>
      <c r="C1206" s="11" t="s">
        <v>6</v>
      </c>
      <c r="D1206" s="11">
        <v>8</v>
      </c>
      <c r="E1206" s="21">
        <v>2.9</v>
      </c>
      <c r="F1206" s="11" t="s">
        <v>18</v>
      </c>
      <c r="G1206" s="11" t="s">
        <v>17</v>
      </c>
      <c r="H1206" s="12">
        <v>46630</v>
      </c>
      <c r="I1206" s="12"/>
      <c r="J1206" s="13"/>
      <c r="K1206" t="str">
        <f t="shared" si="18"/>
        <v>DE90-SDR21</v>
      </c>
      <c r="L1206">
        <f>VLOOKUP(K1206,'[1]Tarif - Evolution Marché'!$F:$L,7,0)</f>
        <v>2.8995822784810121</v>
      </c>
    </row>
    <row r="1207" spans="1:12" x14ac:dyDescent="0.3">
      <c r="A1207" s="14" t="s">
        <v>23</v>
      </c>
      <c r="B1207" s="15">
        <v>110</v>
      </c>
      <c r="C1207" s="15" t="s">
        <v>6</v>
      </c>
      <c r="D1207" s="15">
        <v>8</v>
      </c>
      <c r="E1207" s="21">
        <v>4.33</v>
      </c>
      <c r="F1207" s="15" t="s">
        <v>18</v>
      </c>
      <c r="G1207" s="15" t="s">
        <v>17</v>
      </c>
      <c r="H1207" s="17">
        <v>46630</v>
      </c>
      <c r="I1207" s="17"/>
      <c r="J1207" s="18"/>
      <c r="K1207" t="str">
        <f t="shared" si="18"/>
        <v>DE110-SDR21</v>
      </c>
      <c r="L1207">
        <f>VLOOKUP(K1207,'[1]Tarif - Evolution Marché'!$F:$L,7,0)</f>
        <v>4.3252102320675094</v>
      </c>
    </row>
    <row r="1208" spans="1:12" x14ac:dyDescent="0.3">
      <c r="A1208" s="8" t="s">
        <v>23</v>
      </c>
      <c r="B1208" s="11">
        <v>125</v>
      </c>
      <c r="C1208" s="11" t="s">
        <v>6</v>
      </c>
      <c r="D1208" s="11">
        <v>8</v>
      </c>
      <c r="E1208" s="21">
        <v>5.53</v>
      </c>
      <c r="F1208" s="11" t="s">
        <v>18</v>
      </c>
      <c r="G1208" s="11" t="s">
        <v>17</v>
      </c>
      <c r="H1208" s="12">
        <v>46630</v>
      </c>
      <c r="I1208" s="11">
        <v>2400</v>
      </c>
      <c r="J1208" s="13">
        <v>2800</v>
      </c>
      <c r="K1208" t="str">
        <f t="shared" si="18"/>
        <v>DE125-SDR21</v>
      </c>
      <c r="L1208">
        <f>VLOOKUP(K1208,'[1]Tarif - Evolution Marché'!$F:$L,7,0)</f>
        <v>5.5333695147679318</v>
      </c>
    </row>
    <row r="1209" spans="1:12" x14ac:dyDescent="0.3">
      <c r="A1209" s="14" t="s">
        <v>23</v>
      </c>
      <c r="B1209" s="15">
        <v>140</v>
      </c>
      <c r="C1209" s="15" t="s">
        <v>6</v>
      </c>
      <c r="D1209" s="15">
        <v>8</v>
      </c>
      <c r="E1209" s="21">
        <v>6.91</v>
      </c>
      <c r="F1209" s="15" t="s">
        <v>18</v>
      </c>
      <c r="G1209" s="15" t="s">
        <v>17</v>
      </c>
      <c r="H1209" s="17">
        <v>46630</v>
      </c>
      <c r="I1209" s="15">
        <v>1920</v>
      </c>
      <c r="J1209" s="18">
        <v>2240</v>
      </c>
      <c r="K1209" t="str">
        <f t="shared" si="18"/>
        <v>DE140-SDR21</v>
      </c>
      <c r="L1209">
        <f>VLOOKUP(K1209,'[1]Tarif - Evolution Marché'!$F:$L,7,0)</f>
        <v>6.9106710970464116</v>
      </c>
    </row>
    <row r="1210" spans="1:12" x14ac:dyDescent="0.3">
      <c r="A1210" s="8" t="s">
        <v>23</v>
      </c>
      <c r="B1210" s="11">
        <v>160</v>
      </c>
      <c r="C1210" s="11" t="s">
        <v>6</v>
      </c>
      <c r="D1210" s="11">
        <v>8</v>
      </c>
      <c r="E1210" s="21">
        <v>9.06</v>
      </c>
      <c r="F1210" s="11" t="s">
        <v>18</v>
      </c>
      <c r="G1210" s="11" t="s">
        <v>17</v>
      </c>
      <c r="H1210" s="12">
        <v>46630</v>
      </c>
      <c r="I1210" s="11">
        <v>1920</v>
      </c>
      <c r="J1210" s="13">
        <v>2240</v>
      </c>
      <c r="K1210" t="str">
        <f t="shared" si="18"/>
        <v>DE160-SDR21</v>
      </c>
      <c r="L1210">
        <f>VLOOKUP(K1210,'[1]Tarif - Evolution Marché'!$F:$L,7,0)</f>
        <v>9.061194620253163</v>
      </c>
    </row>
    <row r="1211" spans="1:12" x14ac:dyDescent="0.3">
      <c r="A1211" s="14" t="s">
        <v>23</v>
      </c>
      <c r="B1211" s="15">
        <v>180</v>
      </c>
      <c r="C1211" s="15" t="s">
        <v>6</v>
      </c>
      <c r="D1211" s="15">
        <v>8</v>
      </c>
      <c r="E1211" s="21">
        <v>11.38</v>
      </c>
      <c r="F1211" s="15" t="s">
        <v>18</v>
      </c>
      <c r="G1211" s="15" t="s">
        <v>17</v>
      </c>
      <c r="H1211" s="17">
        <v>46630</v>
      </c>
      <c r="I1211" s="15">
        <v>1200</v>
      </c>
      <c r="J1211" s="18">
        <v>1400</v>
      </c>
      <c r="K1211" t="str">
        <f t="shared" si="18"/>
        <v>DE180-SDR21</v>
      </c>
      <c r="L1211">
        <f>VLOOKUP(K1211,'[1]Tarif - Evolution Marché'!$F:$L,7,0)</f>
        <v>11.380860443037973</v>
      </c>
    </row>
    <row r="1212" spans="1:12" x14ac:dyDescent="0.3">
      <c r="A1212" s="8" t="s">
        <v>23</v>
      </c>
      <c r="B1212" s="11">
        <v>200</v>
      </c>
      <c r="C1212" s="11" t="s">
        <v>6</v>
      </c>
      <c r="D1212" s="11">
        <v>8</v>
      </c>
      <c r="E1212" s="21">
        <v>14.11</v>
      </c>
      <c r="F1212" s="11" t="s">
        <v>18</v>
      </c>
      <c r="G1212" s="11" t="s">
        <v>17</v>
      </c>
      <c r="H1212" s="12">
        <v>46630</v>
      </c>
      <c r="I1212" s="11">
        <v>960</v>
      </c>
      <c r="J1212" s="13">
        <v>1120</v>
      </c>
      <c r="K1212" t="str">
        <f t="shared" si="18"/>
        <v>DE200-SDR21</v>
      </c>
      <c r="L1212">
        <f>VLOOKUP(K1212,'[1]Tarif - Evolution Marché'!$F:$L,7,0)</f>
        <v>14.111300421940925</v>
      </c>
    </row>
    <row r="1213" spans="1:12" x14ac:dyDescent="0.3">
      <c r="A1213" s="14" t="s">
        <v>23</v>
      </c>
      <c r="B1213" s="15">
        <v>225</v>
      </c>
      <c r="C1213" s="15" t="s">
        <v>6</v>
      </c>
      <c r="D1213" s="15">
        <v>8</v>
      </c>
      <c r="E1213" s="21">
        <v>17.809999999999999</v>
      </c>
      <c r="F1213" s="15" t="s">
        <v>18</v>
      </c>
      <c r="G1213" s="15" t="s">
        <v>17</v>
      </c>
      <c r="H1213" s="17">
        <v>46630</v>
      </c>
      <c r="I1213" s="15">
        <v>960</v>
      </c>
      <c r="J1213" s="18">
        <v>1120</v>
      </c>
      <c r="K1213" t="str">
        <f t="shared" si="18"/>
        <v>DE225-SDR21</v>
      </c>
      <c r="L1213">
        <f>VLOOKUP(K1213,'[1]Tarif - Evolution Marché'!$F:$L,7,0)</f>
        <v>17.808267827004215</v>
      </c>
    </row>
    <row r="1214" spans="1:12" x14ac:dyDescent="0.3">
      <c r="A1214" s="8" t="s">
        <v>23</v>
      </c>
      <c r="B1214" s="11">
        <v>250</v>
      </c>
      <c r="C1214" s="11" t="s">
        <v>6</v>
      </c>
      <c r="D1214" s="11">
        <v>8</v>
      </c>
      <c r="E1214" s="21">
        <v>21.8</v>
      </c>
      <c r="F1214" s="11" t="s">
        <v>18</v>
      </c>
      <c r="G1214" s="11" t="s">
        <v>17</v>
      </c>
      <c r="H1214" s="12">
        <v>46630</v>
      </c>
      <c r="I1214" s="11">
        <v>672</v>
      </c>
      <c r="J1214" s="13">
        <v>784</v>
      </c>
      <c r="K1214" t="str">
        <f t="shared" si="18"/>
        <v>DE250-SDR21</v>
      </c>
      <c r="L1214">
        <f>VLOOKUP(K1214,'[1]Tarif - Evolution Marché'!$F:$L,7,0)</f>
        <v>21.795193459915605</v>
      </c>
    </row>
    <row r="1215" spans="1:12" x14ac:dyDescent="0.3">
      <c r="A1215" s="14" t="s">
        <v>23</v>
      </c>
      <c r="B1215" s="15">
        <v>280</v>
      </c>
      <c r="C1215" s="15" t="s">
        <v>6</v>
      </c>
      <c r="D1215" s="15">
        <v>8</v>
      </c>
      <c r="E1215" s="21">
        <v>27.55</v>
      </c>
      <c r="F1215" s="15" t="s">
        <v>18</v>
      </c>
      <c r="G1215" s="15" t="s">
        <v>17</v>
      </c>
      <c r="H1215" s="17">
        <v>46630</v>
      </c>
      <c r="I1215" s="15">
        <v>672</v>
      </c>
      <c r="J1215" s="18">
        <v>784</v>
      </c>
      <c r="K1215" t="str">
        <f t="shared" si="18"/>
        <v>DE280-SDR21</v>
      </c>
      <c r="L1215">
        <f>VLOOKUP(K1215,'[1]Tarif - Evolution Marché'!$F:$L,7,0)</f>
        <v>27.546031645569617</v>
      </c>
    </row>
    <row r="1216" spans="1:12" x14ac:dyDescent="0.3">
      <c r="A1216" s="8" t="s">
        <v>23</v>
      </c>
      <c r="B1216" s="11">
        <v>315</v>
      </c>
      <c r="C1216" s="11" t="s">
        <v>6</v>
      </c>
      <c r="D1216" s="11">
        <v>8</v>
      </c>
      <c r="E1216" s="21">
        <v>34.549999999999997</v>
      </c>
      <c r="F1216" s="11" t="s">
        <v>18</v>
      </c>
      <c r="G1216" s="11" t="s">
        <v>17</v>
      </c>
      <c r="H1216" s="12">
        <v>46630</v>
      </c>
      <c r="I1216" s="11">
        <v>432</v>
      </c>
      <c r="J1216" s="13">
        <v>504</v>
      </c>
      <c r="K1216" t="str">
        <f t="shared" si="18"/>
        <v>DE315-SDR21</v>
      </c>
      <c r="L1216">
        <f>VLOOKUP(K1216,'[1]Tarif - Evolution Marché'!$F:$L,7,0)</f>
        <v>34.553355485232061</v>
      </c>
    </row>
    <row r="1217" spans="1:12" x14ac:dyDescent="0.3">
      <c r="A1217" s="14" t="s">
        <v>23</v>
      </c>
      <c r="B1217" s="15">
        <v>355</v>
      </c>
      <c r="C1217" s="15" t="s">
        <v>6</v>
      </c>
      <c r="D1217" s="15">
        <v>8</v>
      </c>
      <c r="E1217" s="21">
        <v>43.98</v>
      </c>
      <c r="F1217" s="15" t="s">
        <v>18</v>
      </c>
      <c r="G1217" s="15" t="s">
        <v>17</v>
      </c>
      <c r="H1217" s="17">
        <v>46630</v>
      </c>
      <c r="I1217" s="15">
        <v>360</v>
      </c>
      <c r="J1217" s="18">
        <v>420</v>
      </c>
      <c r="K1217" t="str">
        <f t="shared" si="18"/>
        <v>DE355-SDR21</v>
      </c>
      <c r="L1217">
        <f>VLOOKUP(K1217,'[1]Tarif - Evolution Marché'!$F:$L,7,0)</f>
        <v>43.976997890295351</v>
      </c>
    </row>
    <row r="1218" spans="1:12" x14ac:dyDescent="0.3">
      <c r="A1218" s="8" t="s">
        <v>23</v>
      </c>
      <c r="B1218" s="11">
        <v>400</v>
      </c>
      <c r="C1218" s="11" t="s">
        <v>6</v>
      </c>
      <c r="D1218" s="11">
        <v>8</v>
      </c>
      <c r="E1218" s="21">
        <v>55.82</v>
      </c>
      <c r="F1218" s="11" t="s">
        <v>18</v>
      </c>
      <c r="G1218" s="11" t="s">
        <v>17</v>
      </c>
      <c r="H1218" s="12">
        <v>46630</v>
      </c>
      <c r="I1218" s="11">
        <v>360</v>
      </c>
      <c r="J1218" s="13">
        <v>420</v>
      </c>
      <c r="K1218" t="str">
        <f t="shared" si="18"/>
        <v>DE400-SDR21</v>
      </c>
      <c r="L1218">
        <f>VLOOKUP(K1218,'[1]Tarif - Evolution Marché'!$F:$L,7,0)</f>
        <v>55.816958860759485</v>
      </c>
    </row>
    <row r="1219" spans="1:12" x14ac:dyDescent="0.3">
      <c r="A1219" s="14" t="s">
        <v>23</v>
      </c>
      <c r="B1219" s="15">
        <v>450</v>
      </c>
      <c r="C1219" s="15" t="s">
        <v>6</v>
      </c>
      <c r="D1219" s="15">
        <v>8</v>
      </c>
      <c r="E1219" s="21">
        <v>70.8</v>
      </c>
      <c r="F1219" s="15" t="s">
        <v>18</v>
      </c>
      <c r="G1219" s="15" t="s">
        <v>17</v>
      </c>
      <c r="H1219" s="17">
        <v>46630</v>
      </c>
      <c r="I1219" s="15">
        <v>192</v>
      </c>
      <c r="J1219" s="18">
        <v>224</v>
      </c>
      <c r="K1219" t="str">
        <f t="shared" ref="K1219:K1282" si="19">CONCATENATE("DE",B1219,"-",C1219)</f>
        <v>DE450-SDR21</v>
      </c>
      <c r="L1219">
        <f>VLOOKUP(K1219,'[1]Tarif - Evolution Marché'!$F:$L,7,0)</f>
        <v>70.79813396624472</v>
      </c>
    </row>
    <row r="1220" spans="1:12" x14ac:dyDescent="0.3">
      <c r="A1220" s="8" t="s">
        <v>23</v>
      </c>
      <c r="B1220" s="11">
        <v>500</v>
      </c>
      <c r="C1220" s="11" t="s">
        <v>6</v>
      </c>
      <c r="D1220" s="11">
        <v>8</v>
      </c>
      <c r="E1220" s="21">
        <v>87.23</v>
      </c>
      <c r="F1220" s="11" t="s">
        <v>18</v>
      </c>
      <c r="G1220" s="11" t="s">
        <v>17</v>
      </c>
      <c r="H1220" s="12">
        <v>46630</v>
      </c>
      <c r="I1220" s="11">
        <v>192</v>
      </c>
      <c r="J1220" s="13">
        <v>224</v>
      </c>
      <c r="K1220" t="str">
        <f t="shared" si="19"/>
        <v>DE500-SDR21</v>
      </c>
      <c r="L1220">
        <f>VLOOKUP(K1220,'[1]Tarif - Evolution Marché'!$F:$L,7,0)</f>
        <v>87.229100210970458</v>
      </c>
    </row>
    <row r="1221" spans="1:12" x14ac:dyDescent="0.3">
      <c r="A1221" s="14" t="s">
        <v>23</v>
      </c>
      <c r="B1221" s="15">
        <v>560</v>
      </c>
      <c r="C1221" s="15" t="s">
        <v>6</v>
      </c>
      <c r="D1221" s="15">
        <v>8</v>
      </c>
      <c r="E1221" s="21">
        <v>109.22</v>
      </c>
      <c r="F1221" s="15" t="s">
        <v>18</v>
      </c>
      <c r="G1221" s="15" t="s">
        <v>17</v>
      </c>
      <c r="H1221" s="17">
        <v>46630</v>
      </c>
      <c r="I1221" s="15">
        <v>192</v>
      </c>
      <c r="J1221" s="18">
        <v>224</v>
      </c>
      <c r="K1221" t="str">
        <f t="shared" si="19"/>
        <v>DE560-SDR21</v>
      </c>
      <c r="L1221">
        <f>VLOOKUP(K1221,'[1]Tarif - Evolution Marché'!$F:$L,7,0)</f>
        <v>109.21759915611813</v>
      </c>
    </row>
    <row r="1222" spans="1:12" x14ac:dyDescent="0.3">
      <c r="A1222" s="8" t="s">
        <v>23</v>
      </c>
      <c r="B1222" s="11">
        <v>630</v>
      </c>
      <c r="C1222" s="11" t="s">
        <v>6</v>
      </c>
      <c r="D1222" s="11">
        <v>8</v>
      </c>
      <c r="E1222" s="21">
        <v>137.72999999999999</v>
      </c>
      <c r="F1222" s="11" t="s">
        <v>18</v>
      </c>
      <c r="G1222" s="11" t="s">
        <v>17</v>
      </c>
      <c r="H1222" s="12">
        <v>46630</v>
      </c>
      <c r="I1222" s="11">
        <v>108</v>
      </c>
      <c r="J1222" s="13">
        <v>126</v>
      </c>
      <c r="K1222" t="str">
        <f t="shared" si="19"/>
        <v>DE630-SDR21</v>
      </c>
      <c r="L1222">
        <f>VLOOKUP(K1222,'[1]Tarif - Evolution Marché'!$F:$L,7,0)</f>
        <v>137.73015822784808</v>
      </c>
    </row>
    <row r="1223" spans="1:12" x14ac:dyDescent="0.3">
      <c r="A1223" s="14" t="s">
        <v>23</v>
      </c>
      <c r="B1223" s="15">
        <v>710</v>
      </c>
      <c r="C1223" s="15" t="s">
        <v>6</v>
      </c>
      <c r="D1223" s="15">
        <v>8</v>
      </c>
      <c r="E1223" s="21">
        <v>175.42</v>
      </c>
      <c r="F1223" s="15" t="s">
        <v>18</v>
      </c>
      <c r="G1223" s="15" t="s">
        <v>17</v>
      </c>
      <c r="H1223" s="17">
        <v>46630</v>
      </c>
      <c r="I1223" s="15">
        <v>108</v>
      </c>
      <c r="J1223" s="18">
        <v>126</v>
      </c>
      <c r="K1223" t="str">
        <f t="shared" si="19"/>
        <v>DE710-SDR21</v>
      </c>
      <c r="L1223">
        <f>VLOOKUP(K1223,'[1]Tarif - Evolution Marché'!$F:$L,7,0)</f>
        <v>175.42472784810121</v>
      </c>
    </row>
    <row r="1224" spans="1:12" x14ac:dyDescent="0.3">
      <c r="A1224" s="8" t="s">
        <v>23</v>
      </c>
      <c r="B1224" s="11">
        <v>800</v>
      </c>
      <c r="C1224" s="11" t="s">
        <v>6</v>
      </c>
      <c r="D1224" s="11">
        <v>8</v>
      </c>
      <c r="E1224" s="21">
        <v>222.3</v>
      </c>
      <c r="F1224" s="11" t="s">
        <v>18</v>
      </c>
      <c r="G1224" s="11" t="s">
        <v>17</v>
      </c>
      <c r="H1224" s="12">
        <v>46630</v>
      </c>
      <c r="I1224" s="11">
        <v>108</v>
      </c>
      <c r="J1224" s="13">
        <v>126</v>
      </c>
      <c r="K1224" t="str">
        <f t="shared" si="19"/>
        <v>DE800-SDR21</v>
      </c>
      <c r="L1224">
        <f>VLOOKUP(K1224,'[1]Tarif - Evolution Marché'!$F:$L,7,0)</f>
        <v>222.30130801687758</v>
      </c>
    </row>
    <row r="1225" spans="1:12" x14ac:dyDescent="0.3">
      <c r="A1225" s="14" t="s">
        <v>23</v>
      </c>
      <c r="B1225" s="15">
        <v>900</v>
      </c>
      <c r="C1225" s="15" t="s">
        <v>6</v>
      </c>
      <c r="D1225" s="15">
        <v>8</v>
      </c>
      <c r="E1225" s="21">
        <v>280.29000000000002</v>
      </c>
      <c r="F1225" s="15" t="s">
        <v>18</v>
      </c>
      <c r="G1225" s="15" t="s">
        <v>17</v>
      </c>
      <c r="H1225" s="17">
        <v>46630</v>
      </c>
      <c r="I1225" s="15">
        <v>72</v>
      </c>
      <c r="J1225" s="18">
        <v>84</v>
      </c>
      <c r="K1225" t="str">
        <f t="shared" si="19"/>
        <v>DE900-SDR21</v>
      </c>
      <c r="L1225">
        <f>VLOOKUP(K1225,'[1]Tarif - Evolution Marché'!$F:$L,7,0)</f>
        <v>280.29295358649784</v>
      </c>
    </row>
    <row r="1226" spans="1:12" x14ac:dyDescent="0.3">
      <c r="A1226" s="8" t="s">
        <v>23</v>
      </c>
      <c r="B1226" s="11">
        <v>1000</v>
      </c>
      <c r="C1226" s="11" t="s">
        <v>6</v>
      </c>
      <c r="D1226" s="11">
        <v>8</v>
      </c>
      <c r="E1226" s="21">
        <v>347.95</v>
      </c>
      <c r="F1226" s="11" t="s">
        <v>18</v>
      </c>
      <c r="G1226" s="11" t="s">
        <v>17</v>
      </c>
      <c r="H1226" s="12">
        <v>46630</v>
      </c>
      <c r="I1226" s="11">
        <v>48</v>
      </c>
      <c r="J1226" s="13">
        <v>56</v>
      </c>
      <c r="K1226" t="str">
        <f t="shared" si="19"/>
        <v>DE1000-SDR21</v>
      </c>
      <c r="L1226">
        <f>VLOOKUP(K1226,'[1]Tarif - Evolution Marché'!$F:$L,7,0)</f>
        <v>347.94987341772145</v>
      </c>
    </row>
    <row r="1227" spans="1:12" x14ac:dyDescent="0.3">
      <c r="A1227" s="14" t="s">
        <v>23</v>
      </c>
      <c r="B1227" s="15">
        <v>1200</v>
      </c>
      <c r="C1227" s="15" t="s">
        <v>6</v>
      </c>
      <c r="D1227" s="15">
        <v>8</v>
      </c>
      <c r="E1227" s="21">
        <v>500.18</v>
      </c>
      <c r="F1227" s="15" t="s">
        <v>18</v>
      </c>
      <c r="G1227" s="15" t="s">
        <v>17</v>
      </c>
      <c r="H1227" s="17">
        <v>46630</v>
      </c>
      <c r="I1227" s="15">
        <v>36</v>
      </c>
      <c r="J1227" s="18">
        <v>42</v>
      </c>
      <c r="K1227" t="str">
        <f t="shared" si="19"/>
        <v>DE1200-SDR21</v>
      </c>
      <c r="L1227">
        <f>VLOOKUP(K1227,'[1]Tarif - Evolution Marché'!$F:$L,7,0)</f>
        <v>500.17794303797461</v>
      </c>
    </row>
    <row r="1228" spans="1:12" x14ac:dyDescent="0.3">
      <c r="A1228" s="8" t="s">
        <v>23</v>
      </c>
      <c r="B1228" s="11">
        <v>32</v>
      </c>
      <c r="C1228" s="11" t="s">
        <v>7</v>
      </c>
      <c r="D1228" s="11">
        <v>10</v>
      </c>
      <c r="E1228" s="21">
        <v>0.48</v>
      </c>
      <c r="F1228" s="11" t="s">
        <v>18</v>
      </c>
      <c r="G1228" s="11" t="s">
        <v>17</v>
      </c>
      <c r="H1228" s="12">
        <v>46630</v>
      </c>
      <c r="I1228" s="12"/>
      <c r="J1228" s="13"/>
      <c r="K1228" t="str">
        <f t="shared" si="19"/>
        <v>DE32-SDR17</v>
      </c>
      <c r="L1228">
        <f>VLOOKUP(K1228,'[1]Tarif - Evolution Marché'!$F:$L,7,0)</f>
        <v>0.47843107594936701</v>
      </c>
    </row>
    <row r="1229" spans="1:12" x14ac:dyDescent="0.3">
      <c r="A1229" s="14" t="s">
        <v>23</v>
      </c>
      <c r="B1229" s="15">
        <v>40</v>
      </c>
      <c r="C1229" s="15" t="s">
        <v>7</v>
      </c>
      <c r="D1229" s="15">
        <v>10</v>
      </c>
      <c r="E1229" s="21">
        <v>0.72</v>
      </c>
      <c r="F1229" s="15" t="s">
        <v>18</v>
      </c>
      <c r="G1229" s="15" t="s">
        <v>17</v>
      </c>
      <c r="H1229" s="17">
        <v>46630</v>
      </c>
      <c r="I1229" s="17"/>
      <c r="J1229" s="18"/>
      <c r="K1229" t="str">
        <f t="shared" si="19"/>
        <v>DE40-SDR17</v>
      </c>
      <c r="L1229">
        <f>VLOOKUP(K1229,'[1]Tarif - Evolution Marché'!$F:$L,7,0)</f>
        <v>0.72247925105485211</v>
      </c>
    </row>
    <row r="1230" spans="1:12" x14ac:dyDescent="0.3">
      <c r="A1230" s="8" t="s">
        <v>23</v>
      </c>
      <c r="B1230" s="11">
        <v>50</v>
      </c>
      <c r="C1230" s="11" t="s">
        <v>7</v>
      </c>
      <c r="D1230" s="11">
        <v>10</v>
      </c>
      <c r="E1230" s="21">
        <v>1.1100000000000001</v>
      </c>
      <c r="F1230" s="11" t="s">
        <v>18</v>
      </c>
      <c r="G1230" s="11" t="s">
        <v>17</v>
      </c>
      <c r="H1230" s="12">
        <v>46630</v>
      </c>
      <c r="I1230" s="12"/>
      <c r="J1230" s="13"/>
      <c r="K1230" t="str">
        <f t="shared" si="19"/>
        <v>DE50-SDR17</v>
      </c>
      <c r="L1230">
        <f>VLOOKUP(K1230,'[1]Tarif - Evolution Marché'!$F:$L,7,0)</f>
        <v>1.1066739029535864</v>
      </c>
    </row>
    <row r="1231" spans="1:12" x14ac:dyDescent="0.3">
      <c r="A1231" s="14" t="s">
        <v>23</v>
      </c>
      <c r="B1231" s="15">
        <v>63</v>
      </c>
      <c r="C1231" s="15" t="s">
        <v>7</v>
      </c>
      <c r="D1231" s="15">
        <v>10</v>
      </c>
      <c r="E1231" s="21">
        <v>1.76</v>
      </c>
      <c r="F1231" s="15" t="s">
        <v>18</v>
      </c>
      <c r="G1231" s="15" t="s">
        <v>17</v>
      </c>
      <c r="H1231" s="17">
        <v>46630</v>
      </c>
      <c r="I1231" s="17"/>
      <c r="J1231" s="18"/>
      <c r="K1231" t="str">
        <f t="shared" si="19"/>
        <v>DE63-SDR17</v>
      </c>
      <c r="L1231">
        <f>VLOOKUP(K1231,'[1]Tarif - Evolution Marché'!$F:$L,7,0)</f>
        <v>1.759079915611814</v>
      </c>
    </row>
    <row r="1232" spans="1:12" x14ac:dyDescent="0.3">
      <c r="A1232" s="8" t="s">
        <v>23</v>
      </c>
      <c r="B1232" s="11">
        <v>75</v>
      </c>
      <c r="C1232" s="11" t="s">
        <v>7</v>
      </c>
      <c r="D1232" s="11">
        <v>10</v>
      </c>
      <c r="E1232" s="21">
        <v>2.4900000000000002</v>
      </c>
      <c r="F1232" s="11" t="s">
        <v>18</v>
      </c>
      <c r="G1232" s="11" t="s">
        <v>17</v>
      </c>
      <c r="H1232" s="12">
        <v>46630</v>
      </c>
      <c r="I1232" s="12"/>
      <c r="J1232" s="13"/>
      <c r="K1232" t="str">
        <f t="shared" si="19"/>
        <v>DE75-SDR17</v>
      </c>
      <c r="L1232">
        <f>VLOOKUP(K1232,'[1]Tarif - Evolution Marché'!$F:$L,7,0)</f>
        <v>2.4888081223628689</v>
      </c>
    </row>
    <row r="1233" spans="1:12" x14ac:dyDescent="0.3">
      <c r="A1233" s="14" t="s">
        <v>23</v>
      </c>
      <c r="B1233" s="15">
        <v>90</v>
      </c>
      <c r="C1233" s="15" t="s">
        <v>7</v>
      </c>
      <c r="D1233" s="15">
        <v>10</v>
      </c>
      <c r="E1233" s="21">
        <v>3.55</v>
      </c>
      <c r="F1233" s="15" t="s">
        <v>18</v>
      </c>
      <c r="G1233" s="15" t="s">
        <v>17</v>
      </c>
      <c r="H1233" s="17">
        <v>46630</v>
      </c>
      <c r="I1233" s="17"/>
      <c r="J1233" s="18"/>
      <c r="K1233" t="str">
        <f t="shared" si="19"/>
        <v>DE90-SDR17</v>
      </c>
      <c r="L1233">
        <f>VLOOKUP(K1233,'[1]Tarif - Evolution Marché'!$F:$L,7,0)</f>
        <v>3.55198829113924</v>
      </c>
    </row>
    <row r="1234" spans="1:12" x14ac:dyDescent="0.3">
      <c r="A1234" s="8" t="s">
        <v>23</v>
      </c>
      <c r="B1234" s="11">
        <v>110</v>
      </c>
      <c r="C1234" s="11" t="s">
        <v>7</v>
      </c>
      <c r="D1234" s="11">
        <v>10</v>
      </c>
      <c r="E1234" s="21">
        <v>5.29</v>
      </c>
      <c r="F1234" s="11" t="s">
        <v>18</v>
      </c>
      <c r="G1234" s="11" t="s">
        <v>17</v>
      </c>
      <c r="H1234" s="12">
        <v>46630</v>
      </c>
      <c r="I1234" s="12"/>
      <c r="J1234" s="13"/>
      <c r="K1234" t="str">
        <f t="shared" si="19"/>
        <v>DE110-SDR17</v>
      </c>
      <c r="L1234">
        <f>VLOOKUP(K1234,'[1]Tarif - Evolution Marché'!$F:$L,7,0)</f>
        <v>5.2917376582278468</v>
      </c>
    </row>
    <row r="1235" spans="1:12" x14ac:dyDescent="0.3">
      <c r="A1235" s="14" t="s">
        <v>23</v>
      </c>
      <c r="B1235" s="15">
        <v>125</v>
      </c>
      <c r="C1235" s="15" t="s">
        <v>7</v>
      </c>
      <c r="D1235" s="15">
        <v>10</v>
      </c>
      <c r="E1235" s="21">
        <v>6.74</v>
      </c>
      <c r="F1235" s="15" t="s">
        <v>18</v>
      </c>
      <c r="G1235" s="15" t="s">
        <v>17</v>
      </c>
      <c r="H1235" s="17">
        <v>46630</v>
      </c>
      <c r="I1235" s="15">
        <v>2400</v>
      </c>
      <c r="J1235" s="18">
        <v>2800</v>
      </c>
      <c r="K1235" t="str">
        <f t="shared" si="19"/>
        <v>DE125-SDR17</v>
      </c>
      <c r="L1235">
        <f>VLOOKUP(K1235,'[1]Tarif - Evolution Marché'!$F:$L,7,0)</f>
        <v>6.7415287974683533</v>
      </c>
    </row>
    <row r="1236" spans="1:12" x14ac:dyDescent="0.3">
      <c r="A1236" s="8" t="s">
        <v>23</v>
      </c>
      <c r="B1236" s="11">
        <v>140</v>
      </c>
      <c r="C1236" s="11" t="s">
        <v>7</v>
      </c>
      <c r="D1236" s="11">
        <v>10</v>
      </c>
      <c r="E1236" s="21">
        <v>8.4600000000000009</v>
      </c>
      <c r="F1236" s="11" t="s">
        <v>18</v>
      </c>
      <c r="G1236" s="11" t="s">
        <v>17</v>
      </c>
      <c r="H1236" s="12">
        <v>46630</v>
      </c>
      <c r="I1236" s="11">
        <v>1920</v>
      </c>
      <c r="J1236" s="13">
        <v>2240</v>
      </c>
      <c r="K1236" t="str">
        <f t="shared" si="19"/>
        <v>DE140-SDR17</v>
      </c>
      <c r="L1236">
        <f>VLOOKUP(K1236,'[1]Tarif - Evolution Marché'!$F:$L,7,0)</f>
        <v>8.4571149789029523</v>
      </c>
    </row>
    <row r="1237" spans="1:12" x14ac:dyDescent="0.3">
      <c r="A1237" s="14" t="s">
        <v>23</v>
      </c>
      <c r="B1237" s="15">
        <v>160</v>
      </c>
      <c r="C1237" s="15" t="s">
        <v>7</v>
      </c>
      <c r="D1237" s="15">
        <v>10</v>
      </c>
      <c r="E1237" s="21">
        <v>11.04</v>
      </c>
      <c r="F1237" s="15" t="s">
        <v>18</v>
      </c>
      <c r="G1237" s="15" t="s">
        <v>17</v>
      </c>
      <c r="H1237" s="17">
        <v>46630</v>
      </c>
      <c r="I1237" s="15">
        <v>1920</v>
      </c>
      <c r="J1237" s="18">
        <v>2240</v>
      </c>
      <c r="K1237" t="str">
        <f t="shared" si="19"/>
        <v>DE160-SDR17</v>
      </c>
      <c r="L1237">
        <f>VLOOKUP(K1237,'[1]Tarif - Evolution Marché'!$F:$L,7,0)</f>
        <v>11.042575843881854</v>
      </c>
    </row>
    <row r="1238" spans="1:12" x14ac:dyDescent="0.3">
      <c r="A1238" s="8" t="s">
        <v>23</v>
      </c>
      <c r="B1238" s="11">
        <v>180</v>
      </c>
      <c r="C1238" s="11" t="s">
        <v>7</v>
      </c>
      <c r="D1238" s="11">
        <v>10</v>
      </c>
      <c r="E1238" s="21">
        <v>13.94</v>
      </c>
      <c r="F1238" s="11" t="s">
        <v>18</v>
      </c>
      <c r="G1238" s="11" t="s">
        <v>17</v>
      </c>
      <c r="H1238" s="12">
        <v>46630</v>
      </c>
      <c r="I1238" s="11">
        <v>1200</v>
      </c>
      <c r="J1238" s="13">
        <v>1400</v>
      </c>
      <c r="K1238" t="str">
        <f t="shared" si="19"/>
        <v>DE180-SDR17</v>
      </c>
      <c r="L1238">
        <f>VLOOKUP(K1238,'[1]Tarif - Evolution Marché'!$F:$L,7,0)</f>
        <v>13.942158122362866</v>
      </c>
    </row>
    <row r="1239" spans="1:12" x14ac:dyDescent="0.3">
      <c r="A1239" s="14" t="s">
        <v>23</v>
      </c>
      <c r="B1239" s="15">
        <v>200</v>
      </c>
      <c r="C1239" s="15" t="s">
        <v>7</v>
      </c>
      <c r="D1239" s="15">
        <v>10</v>
      </c>
      <c r="E1239" s="21">
        <v>17.2</v>
      </c>
      <c r="F1239" s="15" t="s">
        <v>18</v>
      </c>
      <c r="G1239" s="15" t="s">
        <v>17</v>
      </c>
      <c r="H1239" s="17">
        <v>46630</v>
      </c>
      <c r="I1239" s="15">
        <v>960</v>
      </c>
      <c r="J1239" s="18">
        <v>1120</v>
      </c>
      <c r="K1239" t="str">
        <f t="shared" si="19"/>
        <v>DE200-SDR17</v>
      </c>
      <c r="L1239">
        <f>VLOOKUP(K1239,'[1]Tarif - Evolution Marché'!$F:$L,7,0)</f>
        <v>17.204188185654004</v>
      </c>
    </row>
    <row r="1240" spans="1:12" x14ac:dyDescent="0.3">
      <c r="A1240" s="8" t="s">
        <v>23</v>
      </c>
      <c r="B1240" s="11">
        <v>225</v>
      </c>
      <c r="C1240" s="11" t="s">
        <v>7</v>
      </c>
      <c r="D1240" s="11">
        <v>10</v>
      </c>
      <c r="E1240" s="21">
        <v>21.82</v>
      </c>
      <c r="F1240" s="11" t="s">
        <v>18</v>
      </c>
      <c r="G1240" s="11" t="s">
        <v>17</v>
      </c>
      <c r="H1240" s="12">
        <v>46630</v>
      </c>
      <c r="I1240" s="11">
        <v>960</v>
      </c>
      <c r="J1240" s="13">
        <v>1120</v>
      </c>
      <c r="K1240" t="str">
        <f t="shared" si="19"/>
        <v>DE225-SDR17</v>
      </c>
      <c r="L1240">
        <f>VLOOKUP(K1240,'[1]Tarif - Evolution Marché'!$F:$L,7,0)</f>
        <v>21.819356645569616</v>
      </c>
    </row>
    <row r="1241" spans="1:12" x14ac:dyDescent="0.3">
      <c r="A1241" s="14" t="s">
        <v>23</v>
      </c>
      <c r="B1241" s="15">
        <v>250</v>
      </c>
      <c r="C1241" s="15" t="s">
        <v>7</v>
      </c>
      <c r="D1241" s="15">
        <v>10</v>
      </c>
      <c r="E1241" s="21">
        <v>26.82</v>
      </c>
      <c r="F1241" s="15" t="s">
        <v>18</v>
      </c>
      <c r="G1241" s="15" t="s">
        <v>17</v>
      </c>
      <c r="H1241" s="17">
        <v>46630</v>
      </c>
      <c r="I1241" s="15">
        <v>672</v>
      </c>
      <c r="J1241" s="18">
        <v>784</v>
      </c>
      <c r="K1241" t="str">
        <f t="shared" si="19"/>
        <v>DE250-SDR17</v>
      </c>
      <c r="L1241">
        <f>VLOOKUP(K1241,'[1]Tarif - Evolution Marché'!$F:$L,7,0)</f>
        <v>26.821136075949362</v>
      </c>
    </row>
    <row r="1242" spans="1:12" x14ac:dyDescent="0.3">
      <c r="A1242" s="8" t="s">
        <v>23</v>
      </c>
      <c r="B1242" s="11">
        <v>280</v>
      </c>
      <c r="C1242" s="11" t="s">
        <v>7</v>
      </c>
      <c r="D1242" s="11">
        <v>10</v>
      </c>
      <c r="E1242" s="21">
        <v>33.590000000000003</v>
      </c>
      <c r="F1242" s="11" t="s">
        <v>18</v>
      </c>
      <c r="G1242" s="11" t="s">
        <v>17</v>
      </c>
      <c r="H1242" s="12">
        <v>46630</v>
      </c>
      <c r="I1242" s="11">
        <v>672</v>
      </c>
      <c r="J1242" s="13">
        <v>784</v>
      </c>
      <c r="K1242" t="str">
        <f t="shared" si="19"/>
        <v>DE280-SDR17</v>
      </c>
      <c r="L1242">
        <f>VLOOKUP(K1242,'[1]Tarif - Evolution Marché'!$F:$L,7,0)</f>
        <v>33.586828059071728</v>
      </c>
    </row>
    <row r="1243" spans="1:12" x14ac:dyDescent="0.3">
      <c r="A1243" s="14" t="s">
        <v>23</v>
      </c>
      <c r="B1243" s="15">
        <v>315</v>
      </c>
      <c r="C1243" s="15" t="s">
        <v>7</v>
      </c>
      <c r="D1243" s="15">
        <v>10</v>
      </c>
      <c r="E1243" s="21">
        <v>42.53</v>
      </c>
      <c r="F1243" s="15" t="s">
        <v>18</v>
      </c>
      <c r="G1243" s="15" t="s">
        <v>17</v>
      </c>
      <c r="H1243" s="17">
        <v>46630</v>
      </c>
      <c r="I1243" s="15">
        <v>432</v>
      </c>
      <c r="J1243" s="18">
        <v>504</v>
      </c>
      <c r="K1243" t="str">
        <f t="shared" si="19"/>
        <v>DE315-SDR17</v>
      </c>
      <c r="L1243">
        <f>VLOOKUP(K1243,'[1]Tarif - Evolution Marché'!$F:$L,7,0)</f>
        <v>42.527206751054848</v>
      </c>
    </row>
    <row r="1244" spans="1:12" x14ac:dyDescent="0.3">
      <c r="A1244" s="8" t="s">
        <v>23</v>
      </c>
      <c r="B1244" s="11">
        <v>355</v>
      </c>
      <c r="C1244" s="11" t="s">
        <v>7</v>
      </c>
      <c r="D1244" s="11">
        <v>10</v>
      </c>
      <c r="E1244" s="21">
        <v>54.13</v>
      </c>
      <c r="F1244" s="11" t="s">
        <v>18</v>
      </c>
      <c r="G1244" s="11" t="s">
        <v>17</v>
      </c>
      <c r="H1244" s="12">
        <v>46630</v>
      </c>
      <c r="I1244" s="11">
        <v>360</v>
      </c>
      <c r="J1244" s="13">
        <v>420</v>
      </c>
      <c r="K1244" t="str">
        <f t="shared" si="19"/>
        <v>DE355-SDR17</v>
      </c>
      <c r="L1244">
        <f>VLOOKUP(K1244,'[1]Tarif - Evolution Marché'!$F:$L,7,0)</f>
        <v>54.125535864978893</v>
      </c>
    </row>
    <row r="1245" spans="1:12" x14ac:dyDescent="0.3">
      <c r="A1245" s="14" t="s">
        <v>23</v>
      </c>
      <c r="B1245" s="15">
        <v>400</v>
      </c>
      <c r="C1245" s="15" t="s">
        <v>7</v>
      </c>
      <c r="D1245" s="15">
        <v>10</v>
      </c>
      <c r="E1245" s="21">
        <v>68.38</v>
      </c>
      <c r="F1245" s="15" t="s">
        <v>18</v>
      </c>
      <c r="G1245" s="15" t="s">
        <v>17</v>
      </c>
      <c r="H1245" s="17">
        <v>46630</v>
      </c>
      <c r="I1245" s="15">
        <v>360</v>
      </c>
      <c r="J1245" s="18">
        <v>420</v>
      </c>
      <c r="K1245" t="str">
        <f t="shared" si="19"/>
        <v>DE400-SDR17</v>
      </c>
      <c r="L1245">
        <f>VLOOKUP(K1245,'[1]Tarif - Evolution Marché'!$F:$L,7,0)</f>
        <v>68.381815400843877</v>
      </c>
    </row>
    <row r="1246" spans="1:12" x14ac:dyDescent="0.3">
      <c r="A1246" s="8" t="s">
        <v>23</v>
      </c>
      <c r="B1246" s="11">
        <v>450</v>
      </c>
      <c r="C1246" s="11" t="s">
        <v>7</v>
      </c>
      <c r="D1246" s="11">
        <v>10</v>
      </c>
      <c r="E1246" s="21">
        <v>86.5</v>
      </c>
      <c r="F1246" s="11" t="s">
        <v>18</v>
      </c>
      <c r="G1246" s="11" t="s">
        <v>17</v>
      </c>
      <c r="H1246" s="12">
        <v>46630</v>
      </c>
      <c r="I1246" s="11">
        <v>192</v>
      </c>
      <c r="J1246" s="13">
        <v>224</v>
      </c>
      <c r="K1246" t="str">
        <f t="shared" si="19"/>
        <v>DE450-SDR17</v>
      </c>
      <c r="L1246">
        <f>VLOOKUP(K1246,'[1]Tarif - Evolution Marché'!$F:$L,7,0)</f>
        <v>86.504204641350185</v>
      </c>
    </row>
    <row r="1247" spans="1:12" x14ac:dyDescent="0.3">
      <c r="A1247" s="14" t="s">
        <v>23</v>
      </c>
      <c r="B1247" s="15">
        <v>500</v>
      </c>
      <c r="C1247" s="15" t="s">
        <v>7</v>
      </c>
      <c r="D1247" s="15">
        <v>10</v>
      </c>
      <c r="E1247" s="21">
        <v>106.8</v>
      </c>
      <c r="F1247" s="15" t="s">
        <v>18</v>
      </c>
      <c r="G1247" s="15" t="s">
        <v>17</v>
      </c>
      <c r="H1247" s="17">
        <v>46630</v>
      </c>
      <c r="I1247" s="15">
        <v>192</v>
      </c>
      <c r="J1247" s="18">
        <v>224</v>
      </c>
      <c r="K1247" t="str">
        <f t="shared" si="19"/>
        <v>DE500-SDR17</v>
      </c>
      <c r="L1247">
        <f>VLOOKUP(K1247,'[1]Tarif - Evolution Marché'!$F:$L,7,0)</f>
        <v>106.80128059071728</v>
      </c>
    </row>
    <row r="1248" spans="1:12" x14ac:dyDescent="0.3">
      <c r="A1248" s="8" t="s">
        <v>23</v>
      </c>
      <c r="B1248" s="11">
        <v>560</v>
      </c>
      <c r="C1248" s="11" t="s">
        <v>7</v>
      </c>
      <c r="D1248" s="11">
        <v>10</v>
      </c>
      <c r="E1248" s="21">
        <v>133.86000000000001</v>
      </c>
      <c r="F1248" s="11" t="s">
        <v>18</v>
      </c>
      <c r="G1248" s="11" t="s">
        <v>17</v>
      </c>
      <c r="H1248" s="12">
        <v>46630</v>
      </c>
      <c r="I1248" s="11">
        <v>192</v>
      </c>
      <c r="J1248" s="13">
        <v>224</v>
      </c>
      <c r="K1248" t="str">
        <f t="shared" si="19"/>
        <v>DE560-SDR17</v>
      </c>
      <c r="L1248">
        <f>VLOOKUP(K1248,'[1]Tarif - Evolution Marché'!$F:$L,7,0)</f>
        <v>133.86404852320672</v>
      </c>
    </row>
    <row r="1249" spans="1:12" x14ac:dyDescent="0.3">
      <c r="A1249" s="14" t="s">
        <v>23</v>
      </c>
      <c r="B1249" s="15">
        <v>630</v>
      </c>
      <c r="C1249" s="15" t="s">
        <v>7</v>
      </c>
      <c r="D1249" s="15">
        <v>10</v>
      </c>
      <c r="E1249" s="21">
        <v>169.63</v>
      </c>
      <c r="F1249" s="15" t="s">
        <v>18</v>
      </c>
      <c r="G1249" s="15" t="s">
        <v>17</v>
      </c>
      <c r="H1249" s="17">
        <v>46630</v>
      </c>
      <c r="I1249" s="15">
        <v>108</v>
      </c>
      <c r="J1249" s="18">
        <v>126</v>
      </c>
      <c r="K1249" t="str">
        <f t="shared" si="19"/>
        <v>DE630-SDR17</v>
      </c>
      <c r="L1249">
        <f>VLOOKUP(K1249,'[1]Tarif - Evolution Marché'!$F:$L,7,0)</f>
        <v>169.62556329113923</v>
      </c>
    </row>
    <row r="1250" spans="1:12" x14ac:dyDescent="0.3">
      <c r="A1250" s="8" t="s">
        <v>23</v>
      </c>
      <c r="B1250" s="11">
        <v>710</v>
      </c>
      <c r="C1250" s="11" t="s">
        <v>7</v>
      </c>
      <c r="D1250" s="11">
        <v>10</v>
      </c>
      <c r="E1250" s="21">
        <v>215.05</v>
      </c>
      <c r="F1250" s="11" t="s">
        <v>18</v>
      </c>
      <c r="G1250" s="11" t="s">
        <v>17</v>
      </c>
      <c r="H1250" s="12">
        <v>46630</v>
      </c>
      <c r="I1250" s="11">
        <v>108</v>
      </c>
      <c r="J1250" s="13">
        <v>126</v>
      </c>
      <c r="K1250" t="str">
        <f t="shared" si="19"/>
        <v>DE710-SDR17</v>
      </c>
      <c r="L1250">
        <f>VLOOKUP(K1250,'[1]Tarif - Evolution Marché'!$F:$L,7,0)</f>
        <v>215.05235232067506</v>
      </c>
    </row>
    <row r="1251" spans="1:12" x14ac:dyDescent="0.3">
      <c r="A1251" s="14" t="s">
        <v>23</v>
      </c>
      <c r="B1251" s="15">
        <v>800</v>
      </c>
      <c r="C1251" s="15" t="s">
        <v>7</v>
      </c>
      <c r="D1251" s="15">
        <v>10</v>
      </c>
      <c r="E1251" s="21">
        <v>273.04000000000002</v>
      </c>
      <c r="F1251" s="15" t="s">
        <v>18</v>
      </c>
      <c r="G1251" s="15" t="s">
        <v>17</v>
      </c>
      <c r="H1251" s="17">
        <v>46630</v>
      </c>
      <c r="I1251" s="15">
        <v>108</v>
      </c>
      <c r="J1251" s="18">
        <v>126</v>
      </c>
      <c r="K1251" t="str">
        <f t="shared" si="19"/>
        <v>DE800-SDR17</v>
      </c>
      <c r="L1251">
        <f>VLOOKUP(K1251,'[1]Tarif - Evolution Marché'!$F:$L,7,0)</f>
        <v>273.04399789029532</v>
      </c>
    </row>
    <row r="1252" spans="1:12" x14ac:dyDescent="0.3">
      <c r="A1252" s="8" t="s">
        <v>23</v>
      </c>
      <c r="B1252" s="11">
        <v>900</v>
      </c>
      <c r="C1252" s="11" t="s">
        <v>7</v>
      </c>
      <c r="D1252" s="11">
        <v>10</v>
      </c>
      <c r="E1252" s="21">
        <v>345.53</v>
      </c>
      <c r="F1252" s="11" t="s">
        <v>18</v>
      </c>
      <c r="G1252" s="11" t="s">
        <v>17</v>
      </c>
      <c r="H1252" s="12">
        <v>46630</v>
      </c>
      <c r="I1252" s="11">
        <v>72</v>
      </c>
      <c r="J1252" s="13">
        <v>84</v>
      </c>
      <c r="K1252" t="str">
        <f t="shared" si="19"/>
        <v>DE900-SDR17</v>
      </c>
      <c r="L1252">
        <f>VLOOKUP(K1252,'[1]Tarif - Evolution Marché'!$F:$L,7,0)</f>
        <v>345.53355485232061</v>
      </c>
    </row>
    <row r="1253" spans="1:12" x14ac:dyDescent="0.3">
      <c r="A1253" s="14" t="s">
        <v>23</v>
      </c>
      <c r="B1253" s="15">
        <v>1000</v>
      </c>
      <c r="C1253" s="15" t="s">
        <v>7</v>
      </c>
      <c r="D1253" s="15">
        <v>10</v>
      </c>
      <c r="E1253" s="21">
        <v>425.27</v>
      </c>
      <c r="F1253" s="15" t="s">
        <v>18</v>
      </c>
      <c r="G1253" s="15" t="s">
        <v>17</v>
      </c>
      <c r="H1253" s="17">
        <v>46630</v>
      </c>
      <c r="I1253" s="15">
        <v>48</v>
      </c>
      <c r="J1253" s="18">
        <v>56</v>
      </c>
      <c r="K1253" t="str">
        <f t="shared" si="19"/>
        <v>DE1000-SDR17</v>
      </c>
      <c r="L1253">
        <f>VLOOKUP(K1253,'[1]Tarif - Evolution Marché'!$F:$L,7,0)</f>
        <v>425.27206751054842</v>
      </c>
    </row>
    <row r="1254" spans="1:12" x14ac:dyDescent="0.3">
      <c r="A1254" s="8" t="s">
        <v>23</v>
      </c>
      <c r="B1254" s="11">
        <v>25</v>
      </c>
      <c r="C1254" s="11" t="s">
        <v>8</v>
      </c>
      <c r="D1254" s="11">
        <v>12.5</v>
      </c>
      <c r="E1254" s="21">
        <v>0.36</v>
      </c>
      <c r="F1254" s="11" t="s">
        <v>18</v>
      </c>
      <c r="G1254" s="11" t="s">
        <v>17</v>
      </c>
      <c r="H1254" s="12">
        <v>46630</v>
      </c>
      <c r="I1254" s="12"/>
      <c r="J1254" s="13"/>
      <c r="K1254" t="str">
        <f t="shared" si="19"/>
        <v>DE25-SDR13,6</v>
      </c>
      <c r="L1254">
        <f>VLOOKUP(K1254,'[1]Tarif - Evolution Marché'!$F:$L,7,0)</f>
        <v>0.36486410337552733</v>
      </c>
    </row>
    <row r="1255" spans="1:12" x14ac:dyDescent="0.3">
      <c r="A1255" s="14" t="s">
        <v>23</v>
      </c>
      <c r="B1255" s="15">
        <v>32</v>
      </c>
      <c r="C1255" s="15" t="s">
        <v>8</v>
      </c>
      <c r="D1255" s="15">
        <v>12.5</v>
      </c>
      <c r="E1255" s="21">
        <v>0.56999999999999995</v>
      </c>
      <c r="F1255" s="15" t="s">
        <v>18</v>
      </c>
      <c r="G1255" s="15" t="s">
        <v>17</v>
      </c>
      <c r="H1255" s="17">
        <v>46630</v>
      </c>
      <c r="I1255" s="17"/>
      <c r="J1255" s="18"/>
      <c r="K1255" t="str">
        <f t="shared" si="19"/>
        <v>DE32-SDR13,6</v>
      </c>
      <c r="L1255">
        <f>VLOOKUP(K1255,'[1]Tarif - Evolution Marché'!$F:$L,7,0)</f>
        <v>0.56783486286919815</v>
      </c>
    </row>
    <row r="1256" spans="1:12" x14ac:dyDescent="0.3">
      <c r="A1256" s="8" t="s">
        <v>23</v>
      </c>
      <c r="B1256" s="11">
        <v>40</v>
      </c>
      <c r="C1256" s="11" t="s">
        <v>8</v>
      </c>
      <c r="D1256" s="11">
        <v>12.5</v>
      </c>
      <c r="E1256" s="21">
        <v>0.87</v>
      </c>
      <c r="F1256" s="11" t="s">
        <v>18</v>
      </c>
      <c r="G1256" s="11" t="s">
        <v>17</v>
      </c>
      <c r="H1256" s="12">
        <v>46630</v>
      </c>
      <c r="I1256" s="12"/>
      <c r="J1256" s="13"/>
      <c r="K1256" t="str">
        <f t="shared" si="19"/>
        <v>DE40-SDR13,6</v>
      </c>
      <c r="L1256">
        <f>VLOOKUP(K1256,'[1]Tarif - Evolution Marché'!$F:$L,7,0)</f>
        <v>0.86987468354430364</v>
      </c>
    </row>
    <row r="1257" spans="1:12" x14ac:dyDescent="0.3">
      <c r="A1257" s="14" t="s">
        <v>23</v>
      </c>
      <c r="B1257" s="15">
        <v>50</v>
      </c>
      <c r="C1257" s="15" t="s">
        <v>8</v>
      </c>
      <c r="D1257" s="15">
        <v>12.5</v>
      </c>
      <c r="E1257" s="21">
        <v>1.34</v>
      </c>
      <c r="F1257" s="15" t="s">
        <v>18</v>
      </c>
      <c r="G1257" s="15" t="s">
        <v>17</v>
      </c>
      <c r="H1257" s="17">
        <v>46630</v>
      </c>
      <c r="I1257" s="17"/>
      <c r="J1257" s="18"/>
      <c r="K1257" t="str">
        <f t="shared" si="19"/>
        <v>DE50-SDR13,6</v>
      </c>
      <c r="L1257">
        <f>VLOOKUP(K1257,'[1]Tarif - Evolution Marché'!$F:$L,7,0)</f>
        <v>1.3410568037974682</v>
      </c>
    </row>
    <row r="1258" spans="1:12" x14ac:dyDescent="0.3">
      <c r="A1258" s="8" t="s">
        <v>23</v>
      </c>
      <c r="B1258" s="11">
        <v>63</v>
      </c>
      <c r="C1258" s="11" t="s">
        <v>8</v>
      </c>
      <c r="D1258" s="11">
        <v>12.5</v>
      </c>
      <c r="E1258" s="21">
        <v>2.13</v>
      </c>
      <c r="F1258" s="11" t="s">
        <v>18</v>
      </c>
      <c r="G1258" s="11" t="s">
        <v>17</v>
      </c>
      <c r="H1258" s="12">
        <v>46630</v>
      </c>
      <c r="I1258" s="12"/>
      <c r="J1258" s="13"/>
      <c r="K1258" t="str">
        <f t="shared" si="19"/>
        <v>DE63-SDR13,6</v>
      </c>
      <c r="L1258">
        <f>VLOOKUP(K1258,'[1]Tarif - Evolution Marché'!$F:$L,7,0)</f>
        <v>2.133609293248945</v>
      </c>
    </row>
    <row r="1259" spans="1:12" x14ac:dyDescent="0.3">
      <c r="A1259" s="14" t="s">
        <v>23</v>
      </c>
      <c r="B1259" s="15">
        <v>75</v>
      </c>
      <c r="C1259" s="15" t="s">
        <v>8</v>
      </c>
      <c r="D1259" s="15">
        <v>12.5</v>
      </c>
      <c r="E1259" s="21">
        <v>3.02</v>
      </c>
      <c r="F1259" s="15" t="s">
        <v>18</v>
      </c>
      <c r="G1259" s="15" t="s">
        <v>17</v>
      </c>
      <c r="H1259" s="17">
        <v>46630</v>
      </c>
      <c r="I1259" s="17"/>
      <c r="J1259" s="18"/>
      <c r="K1259" t="str">
        <f t="shared" si="19"/>
        <v>DE75-SDR13,6</v>
      </c>
      <c r="L1259">
        <f>VLOOKUP(K1259,'[1]Tarif - Evolution Marché'!$F:$L,7,0)</f>
        <v>3.0203982067510542</v>
      </c>
    </row>
    <row r="1260" spans="1:12" x14ac:dyDescent="0.3">
      <c r="A1260" s="8" t="s">
        <v>23</v>
      </c>
      <c r="B1260" s="11">
        <v>90</v>
      </c>
      <c r="C1260" s="11" t="s">
        <v>8</v>
      </c>
      <c r="D1260" s="11">
        <v>12.5</v>
      </c>
      <c r="E1260" s="21">
        <v>4.33</v>
      </c>
      <c r="F1260" s="11" t="s">
        <v>18</v>
      </c>
      <c r="G1260" s="11" t="s">
        <v>17</v>
      </c>
      <c r="H1260" s="12">
        <v>46630</v>
      </c>
      <c r="I1260" s="12"/>
      <c r="J1260" s="13"/>
      <c r="K1260" t="str">
        <f t="shared" si="19"/>
        <v>DE90-SDR13,6</v>
      </c>
      <c r="L1260">
        <f>VLOOKUP(K1260,'[1]Tarif - Evolution Marché'!$F:$L,7,0)</f>
        <v>4.3252102320675094</v>
      </c>
    </row>
    <row r="1261" spans="1:12" x14ac:dyDescent="0.3">
      <c r="A1261" s="14" t="s">
        <v>23</v>
      </c>
      <c r="B1261" s="15">
        <v>110</v>
      </c>
      <c r="C1261" s="15" t="s">
        <v>8</v>
      </c>
      <c r="D1261" s="15">
        <v>12.5</v>
      </c>
      <c r="E1261" s="21">
        <v>6.38</v>
      </c>
      <c r="F1261" s="15" t="s">
        <v>18</v>
      </c>
      <c r="G1261" s="15" t="s">
        <v>17</v>
      </c>
      <c r="H1261" s="17">
        <v>46630</v>
      </c>
      <c r="I1261" s="17"/>
      <c r="J1261" s="18"/>
      <c r="K1261" t="str">
        <f t="shared" si="19"/>
        <v>DE110-SDR13,6</v>
      </c>
      <c r="L1261">
        <f>VLOOKUP(K1261,'[1]Tarif - Evolution Marché'!$F:$L,7,0)</f>
        <v>6.3790810126582267</v>
      </c>
    </row>
    <row r="1262" spans="1:12" x14ac:dyDescent="0.3">
      <c r="A1262" s="8" t="s">
        <v>23</v>
      </c>
      <c r="B1262" s="11">
        <v>125</v>
      </c>
      <c r="C1262" s="11" t="s">
        <v>8</v>
      </c>
      <c r="D1262" s="11">
        <v>12.5</v>
      </c>
      <c r="E1262" s="21">
        <v>8.2200000000000006</v>
      </c>
      <c r="F1262" s="11" t="s">
        <v>18</v>
      </c>
      <c r="G1262" s="11" t="s">
        <v>17</v>
      </c>
      <c r="H1262" s="12">
        <v>46630</v>
      </c>
      <c r="I1262" s="11">
        <v>2400</v>
      </c>
      <c r="J1262" s="13">
        <v>2800</v>
      </c>
      <c r="K1262" t="str">
        <f t="shared" si="19"/>
        <v>DE125-SDR13,6</v>
      </c>
      <c r="L1262">
        <f>VLOOKUP(K1262,'[1]Tarif - Evolution Marché'!$F:$L,7,0)</f>
        <v>8.2154831223628673</v>
      </c>
    </row>
    <row r="1263" spans="1:12" x14ac:dyDescent="0.3">
      <c r="A1263" s="14" t="s">
        <v>23</v>
      </c>
      <c r="B1263" s="15">
        <v>140</v>
      </c>
      <c r="C1263" s="15" t="s">
        <v>8</v>
      </c>
      <c r="D1263" s="15">
        <v>12.5</v>
      </c>
      <c r="E1263" s="21">
        <v>10.29</v>
      </c>
      <c r="F1263" s="15" t="s">
        <v>18</v>
      </c>
      <c r="G1263" s="15" t="s">
        <v>17</v>
      </c>
      <c r="H1263" s="17">
        <v>46630</v>
      </c>
      <c r="I1263" s="15">
        <v>1920</v>
      </c>
      <c r="J1263" s="18">
        <v>2240</v>
      </c>
      <c r="K1263" t="str">
        <f t="shared" si="19"/>
        <v>DE140-SDR13,6</v>
      </c>
      <c r="L1263">
        <f>VLOOKUP(K1263,'[1]Tarif - Evolution Marché'!$F:$L,7,0)</f>
        <v>10.293517088607592</v>
      </c>
    </row>
    <row r="1264" spans="1:12" x14ac:dyDescent="0.3">
      <c r="A1264" s="8" t="s">
        <v>23</v>
      </c>
      <c r="B1264" s="11">
        <v>160</v>
      </c>
      <c r="C1264" s="11" t="s">
        <v>8</v>
      </c>
      <c r="D1264" s="11">
        <v>12.5</v>
      </c>
      <c r="E1264" s="21">
        <v>13.43</v>
      </c>
      <c r="F1264" s="11" t="s">
        <v>18</v>
      </c>
      <c r="G1264" s="11" t="s">
        <v>17</v>
      </c>
      <c r="H1264" s="12">
        <v>46630</v>
      </c>
      <c r="I1264" s="11">
        <v>1920</v>
      </c>
      <c r="J1264" s="13">
        <v>2240</v>
      </c>
      <c r="K1264" t="str">
        <f t="shared" si="19"/>
        <v>DE160-SDR13,6</v>
      </c>
      <c r="L1264">
        <f>VLOOKUP(K1264,'[1]Tarif - Evolution Marché'!$F:$L,7,0)</f>
        <v>13.434731223628688</v>
      </c>
    </row>
    <row r="1265" spans="1:12" x14ac:dyDescent="0.3">
      <c r="A1265" s="14" t="s">
        <v>23</v>
      </c>
      <c r="B1265" s="15">
        <v>180</v>
      </c>
      <c r="C1265" s="15" t="s">
        <v>8</v>
      </c>
      <c r="D1265" s="15">
        <v>12.5</v>
      </c>
      <c r="E1265" s="21">
        <v>17.04</v>
      </c>
      <c r="F1265" s="15" t="s">
        <v>18</v>
      </c>
      <c r="G1265" s="15" t="s">
        <v>17</v>
      </c>
      <c r="H1265" s="17">
        <v>46630</v>
      </c>
      <c r="I1265" s="15">
        <v>1200</v>
      </c>
      <c r="J1265" s="18">
        <v>1400</v>
      </c>
      <c r="K1265" t="str">
        <f t="shared" si="19"/>
        <v>DE180-SDR13,6</v>
      </c>
      <c r="L1265">
        <f>VLOOKUP(K1265,'[1]Tarif - Evolution Marché'!$F:$L,7,0)</f>
        <v>17.035045886075945</v>
      </c>
    </row>
    <row r="1266" spans="1:12" x14ac:dyDescent="0.3">
      <c r="A1266" s="8" t="s">
        <v>23</v>
      </c>
      <c r="B1266" s="11">
        <v>200</v>
      </c>
      <c r="C1266" s="11" t="s">
        <v>8</v>
      </c>
      <c r="D1266" s="11">
        <v>12.5</v>
      </c>
      <c r="E1266" s="21">
        <v>20.9</v>
      </c>
      <c r="F1266" s="11" t="s">
        <v>18</v>
      </c>
      <c r="G1266" s="11" t="s">
        <v>17</v>
      </c>
      <c r="H1266" s="12">
        <v>46630</v>
      </c>
      <c r="I1266" s="11">
        <v>960</v>
      </c>
      <c r="J1266" s="13">
        <v>1120</v>
      </c>
      <c r="K1266" t="str">
        <f t="shared" si="19"/>
        <v>DE200-SDR13,6</v>
      </c>
      <c r="L1266">
        <f>VLOOKUP(K1266,'[1]Tarif - Evolution Marché'!$F:$L,7,0)</f>
        <v>20.901155590717298</v>
      </c>
    </row>
    <row r="1267" spans="1:12" x14ac:dyDescent="0.3">
      <c r="A1267" s="14" t="s">
        <v>23</v>
      </c>
      <c r="B1267" s="15">
        <v>225</v>
      </c>
      <c r="C1267" s="15" t="s">
        <v>8</v>
      </c>
      <c r="D1267" s="15">
        <v>12.5</v>
      </c>
      <c r="E1267" s="21">
        <v>26.58</v>
      </c>
      <c r="F1267" s="15" t="s">
        <v>18</v>
      </c>
      <c r="G1267" s="15" t="s">
        <v>17</v>
      </c>
      <c r="H1267" s="17">
        <v>46630</v>
      </c>
      <c r="I1267" s="15">
        <v>960</v>
      </c>
      <c r="J1267" s="18">
        <v>1120</v>
      </c>
      <c r="K1267" t="str">
        <f t="shared" si="19"/>
        <v>DE225-SDR13,6</v>
      </c>
      <c r="L1267">
        <f>VLOOKUP(K1267,'[1]Tarif - Evolution Marché'!$F:$L,7,0)</f>
        <v>26.579504219409277</v>
      </c>
    </row>
    <row r="1268" spans="1:12" x14ac:dyDescent="0.3">
      <c r="A1268" s="8" t="s">
        <v>23</v>
      </c>
      <c r="B1268" s="11">
        <v>250</v>
      </c>
      <c r="C1268" s="11" t="s">
        <v>8</v>
      </c>
      <c r="D1268" s="11">
        <v>12.5</v>
      </c>
      <c r="E1268" s="21">
        <v>32.619999999999997</v>
      </c>
      <c r="F1268" s="11" t="s">
        <v>18</v>
      </c>
      <c r="G1268" s="11" t="s">
        <v>17</v>
      </c>
      <c r="H1268" s="12">
        <v>46630</v>
      </c>
      <c r="I1268" s="11">
        <v>672</v>
      </c>
      <c r="J1268" s="13">
        <v>784</v>
      </c>
      <c r="K1268" t="str">
        <f t="shared" si="19"/>
        <v>DE250-SDR13,6</v>
      </c>
      <c r="L1268">
        <f>VLOOKUP(K1268,'[1]Tarif - Evolution Marché'!$F:$L,7,0)</f>
        <v>32.620300632911388</v>
      </c>
    </row>
    <row r="1269" spans="1:12" x14ac:dyDescent="0.3">
      <c r="A1269" s="14" t="s">
        <v>23</v>
      </c>
      <c r="B1269" s="15">
        <v>280</v>
      </c>
      <c r="C1269" s="15" t="s">
        <v>8</v>
      </c>
      <c r="D1269" s="15">
        <v>12.5</v>
      </c>
      <c r="E1269" s="21">
        <v>40.840000000000003</v>
      </c>
      <c r="F1269" s="15" t="s">
        <v>18</v>
      </c>
      <c r="G1269" s="15" t="s">
        <v>17</v>
      </c>
      <c r="H1269" s="17">
        <v>46630</v>
      </c>
      <c r="I1269" s="15">
        <v>672</v>
      </c>
      <c r="J1269" s="18">
        <v>784</v>
      </c>
      <c r="K1269" t="str">
        <f t="shared" si="19"/>
        <v>DE280-SDR13,6</v>
      </c>
      <c r="L1269">
        <f>VLOOKUP(K1269,'[1]Tarif - Evolution Marché'!$F:$L,7,0)</f>
        <v>40.83578375527425</v>
      </c>
    </row>
    <row r="1270" spans="1:12" x14ac:dyDescent="0.3">
      <c r="A1270" s="8" t="s">
        <v>23</v>
      </c>
      <c r="B1270" s="11">
        <v>315</v>
      </c>
      <c r="C1270" s="11" t="s">
        <v>8</v>
      </c>
      <c r="D1270" s="11">
        <v>12.5</v>
      </c>
      <c r="E1270" s="21">
        <v>51.95</v>
      </c>
      <c r="F1270" s="11" t="s">
        <v>18</v>
      </c>
      <c r="G1270" s="11" t="s">
        <v>17</v>
      </c>
      <c r="H1270" s="12">
        <v>46630</v>
      </c>
      <c r="I1270" s="11">
        <v>432</v>
      </c>
      <c r="J1270" s="13">
        <v>504</v>
      </c>
      <c r="K1270" t="str">
        <f t="shared" si="19"/>
        <v>DE315-SDR13,6</v>
      </c>
      <c r="L1270">
        <f>VLOOKUP(K1270,'[1]Tarif - Evolution Marché'!$F:$L,7,0)</f>
        <v>51.950849156118132</v>
      </c>
    </row>
    <row r="1271" spans="1:12" x14ac:dyDescent="0.3">
      <c r="A1271" s="14" t="s">
        <v>23</v>
      </c>
      <c r="B1271" s="15">
        <v>355</v>
      </c>
      <c r="C1271" s="15" t="s">
        <v>8</v>
      </c>
      <c r="D1271" s="15">
        <v>12.5</v>
      </c>
      <c r="E1271" s="21">
        <v>65.72</v>
      </c>
      <c r="F1271" s="15" t="s">
        <v>18</v>
      </c>
      <c r="G1271" s="15" t="s">
        <v>17</v>
      </c>
      <c r="H1271" s="17">
        <v>46630</v>
      </c>
      <c r="I1271" s="15">
        <v>360</v>
      </c>
      <c r="J1271" s="18">
        <v>420</v>
      </c>
      <c r="K1271" t="str">
        <f t="shared" si="19"/>
        <v>DE355-SDR13,6</v>
      </c>
      <c r="L1271">
        <f>VLOOKUP(K1271,'[1]Tarif - Evolution Marché'!$F:$L,7,0)</f>
        <v>65.723864978902938</v>
      </c>
    </row>
    <row r="1272" spans="1:12" x14ac:dyDescent="0.3">
      <c r="A1272" s="8" t="s">
        <v>23</v>
      </c>
      <c r="B1272" s="11">
        <v>400</v>
      </c>
      <c r="C1272" s="11" t="s">
        <v>8</v>
      </c>
      <c r="D1272" s="11">
        <v>12.5</v>
      </c>
      <c r="E1272" s="21">
        <v>83.36</v>
      </c>
      <c r="F1272" s="11" t="s">
        <v>18</v>
      </c>
      <c r="G1272" s="11" t="s">
        <v>17</v>
      </c>
      <c r="H1272" s="12">
        <v>46630</v>
      </c>
      <c r="I1272" s="11">
        <v>360</v>
      </c>
      <c r="J1272" s="13">
        <v>420</v>
      </c>
      <c r="K1272" t="str">
        <f t="shared" si="19"/>
        <v>DE400-SDR13,6</v>
      </c>
      <c r="L1272">
        <f>VLOOKUP(K1272,'[1]Tarif - Evolution Marché'!$F:$L,7,0)</f>
        <v>83.362990506329098</v>
      </c>
    </row>
    <row r="1273" spans="1:12" x14ac:dyDescent="0.3">
      <c r="A1273" s="14" t="s">
        <v>23</v>
      </c>
      <c r="B1273" s="15">
        <v>450</v>
      </c>
      <c r="C1273" s="15" t="s">
        <v>8</v>
      </c>
      <c r="D1273" s="15">
        <v>12.5</v>
      </c>
      <c r="E1273" s="21">
        <v>105.59</v>
      </c>
      <c r="F1273" s="15" t="s">
        <v>18</v>
      </c>
      <c r="G1273" s="15" t="s">
        <v>17</v>
      </c>
      <c r="H1273" s="17">
        <v>46630</v>
      </c>
      <c r="I1273" s="15">
        <v>192</v>
      </c>
      <c r="J1273" s="18">
        <v>224</v>
      </c>
      <c r="K1273" t="str">
        <f t="shared" si="19"/>
        <v>DE450-SDR13,6</v>
      </c>
      <c r="L1273">
        <f>VLOOKUP(K1273,'[1]Tarif - Evolution Marché'!$F:$L,7,0)</f>
        <v>105.59312130801686</v>
      </c>
    </row>
    <row r="1274" spans="1:12" x14ac:dyDescent="0.3">
      <c r="A1274" s="8" t="s">
        <v>23</v>
      </c>
      <c r="B1274" s="11">
        <v>500</v>
      </c>
      <c r="C1274" s="11" t="s">
        <v>8</v>
      </c>
      <c r="D1274" s="11">
        <v>12.5</v>
      </c>
      <c r="E1274" s="21">
        <v>130.24</v>
      </c>
      <c r="F1274" s="11" t="s">
        <v>18</v>
      </c>
      <c r="G1274" s="11" t="s">
        <v>17</v>
      </c>
      <c r="H1274" s="12">
        <v>46630</v>
      </c>
      <c r="I1274" s="11">
        <v>192</v>
      </c>
      <c r="J1274" s="13">
        <v>224</v>
      </c>
      <c r="K1274" t="str">
        <f t="shared" si="19"/>
        <v>DE500-SDR13,6</v>
      </c>
      <c r="L1274">
        <f>VLOOKUP(K1274,'[1]Tarif - Evolution Marché'!$F:$L,7,0)</f>
        <v>130.23957067510545</v>
      </c>
    </row>
    <row r="1275" spans="1:12" x14ac:dyDescent="0.3">
      <c r="A1275" s="14" t="s">
        <v>23</v>
      </c>
      <c r="B1275" s="15">
        <v>560</v>
      </c>
      <c r="C1275" s="15" t="s">
        <v>8</v>
      </c>
      <c r="D1275" s="15">
        <v>12.5</v>
      </c>
      <c r="E1275" s="21">
        <v>163.34</v>
      </c>
      <c r="F1275" s="15" t="s">
        <v>18</v>
      </c>
      <c r="G1275" s="15" t="s">
        <v>17</v>
      </c>
      <c r="H1275" s="17">
        <v>46630</v>
      </c>
      <c r="I1275" s="15">
        <v>192</v>
      </c>
      <c r="J1275" s="18">
        <v>224</v>
      </c>
      <c r="K1275" t="str">
        <f t="shared" si="19"/>
        <v>DE560-SDR13,6</v>
      </c>
      <c r="L1275">
        <f>VLOOKUP(K1275,'[1]Tarif - Evolution Marché'!$F:$L,7,0)</f>
        <v>163.343135021097</v>
      </c>
    </row>
    <row r="1276" spans="1:12" x14ac:dyDescent="0.3">
      <c r="A1276" s="8" t="s">
        <v>23</v>
      </c>
      <c r="B1276" s="11">
        <v>630</v>
      </c>
      <c r="C1276" s="11" t="s">
        <v>8</v>
      </c>
      <c r="D1276" s="11">
        <v>12.5</v>
      </c>
      <c r="E1276" s="21">
        <v>206.6</v>
      </c>
      <c r="F1276" s="11" t="s">
        <v>18</v>
      </c>
      <c r="G1276" s="11" t="s">
        <v>17</v>
      </c>
      <c r="H1276" s="12">
        <v>46630</v>
      </c>
      <c r="I1276" s="11">
        <v>108</v>
      </c>
      <c r="J1276" s="13">
        <v>126</v>
      </c>
      <c r="K1276" t="str">
        <f t="shared" si="19"/>
        <v>DE630-SDR13,6</v>
      </c>
      <c r="L1276">
        <f>VLOOKUP(K1276,'[1]Tarif - Evolution Marché'!$F:$L,7,0)</f>
        <v>206.5952373417721</v>
      </c>
    </row>
    <row r="1277" spans="1:12" x14ac:dyDescent="0.3">
      <c r="A1277" s="14" t="s">
        <v>23</v>
      </c>
      <c r="B1277" s="15">
        <v>710</v>
      </c>
      <c r="C1277" s="15" t="s">
        <v>8</v>
      </c>
      <c r="D1277" s="15">
        <v>12.5</v>
      </c>
      <c r="E1277" s="21">
        <v>263.38</v>
      </c>
      <c r="F1277" s="15" t="s">
        <v>18</v>
      </c>
      <c r="G1277" s="15" t="s">
        <v>17</v>
      </c>
      <c r="H1277" s="17">
        <v>46630</v>
      </c>
      <c r="I1277" s="15">
        <v>108</v>
      </c>
      <c r="J1277" s="18">
        <v>126</v>
      </c>
      <c r="K1277" t="str">
        <f t="shared" si="19"/>
        <v>DE710-SDR13,6</v>
      </c>
      <c r="L1277">
        <f>VLOOKUP(K1277,'[1]Tarif - Evolution Marché'!$F:$L,7,0)</f>
        <v>263.37872362869194</v>
      </c>
    </row>
    <row r="1278" spans="1:12" x14ac:dyDescent="0.3">
      <c r="A1278" s="8" t="s">
        <v>23</v>
      </c>
      <c r="B1278" s="11">
        <v>800</v>
      </c>
      <c r="C1278" s="11" t="s">
        <v>8</v>
      </c>
      <c r="D1278" s="11">
        <v>12.5</v>
      </c>
      <c r="E1278" s="21">
        <v>333.45</v>
      </c>
      <c r="F1278" s="11" t="s">
        <v>18</v>
      </c>
      <c r="G1278" s="11" t="s">
        <v>17</v>
      </c>
      <c r="H1278" s="12">
        <v>46630</v>
      </c>
      <c r="I1278" s="11">
        <v>108</v>
      </c>
      <c r="J1278" s="13">
        <v>126</v>
      </c>
      <c r="K1278" t="str">
        <f t="shared" si="19"/>
        <v>DE800-SDR13,6</v>
      </c>
      <c r="L1278">
        <f>VLOOKUP(K1278,'[1]Tarif - Evolution Marché'!$F:$L,7,0)</f>
        <v>333.45196202531639</v>
      </c>
    </row>
    <row r="1279" spans="1:12" x14ac:dyDescent="0.3">
      <c r="A1279" s="14" t="s">
        <v>23</v>
      </c>
      <c r="B1279" s="15">
        <v>900</v>
      </c>
      <c r="C1279" s="15" t="s">
        <v>8</v>
      </c>
      <c r="D1279" s="15">
        <v>12.5</v>
      </c>
      <c r="E1279" s="21">
        <v>420.44</v>
      </c>
      <c r="F1279" s="15" t="s">
        <v>18</v>
      </c>
      <c r="G1279" s="15" t="s">
        <v>17</v>
      </c>
      <c r="H1279" s="17">
        <v>46630</v>
      </c>
      <c r="I1279" s="15">
        <v>72</v>
      </c>
      <c r="J1279" s="18">
        <v>84</v>
      </c>
      <c r="K1279" t="str">
        <f t="shared" si="19"/>
        <v>DE900-SDR13,6</v>
      </c>
      <c r="L1279">
        <f>VLOOKUP(K1279,'[1]Tarif - Evolution Marché'!$F:$L,7,0)</f>
        <v>420.43943037974674</v>
      </c>
    </row>
    <row r="1280" spans="1:12" x14ac:dyDescent="0.3">
      <c r="A1280" s="8" t="s">
        <v>23</v>
      </c>
      <c r="B1280" s="11">
        <v>20</v>
      </c>
      <c r="C1280" s="11" t="s">
        <v>9</v>
      </c>
      <c r="D1280" s="11">
        <v>16</v>
      </c>
      <c r="E1280" s="21">
        <v>0.28999999999999998</v>
      </c>
      <c r="F1280" s="11" t="s">
        <v>18</v>
      </c>
      <c r="G1280" s="11" t="s">
        <v>17</v>
      </c>
      <c r="H1280" s="12">
        <v>46630</v>
      </c>
      <c r="I1280" s="12"/>
      <c r="J1280" s="13"/>
      <c r="K1280" t="str">
        <f t="shared" si="19"/>
        <v>DE20-SDR11</v>
      </c>
      <c r="L1280">
        <f>VLOOKUP(K1280,'[1]Tarif - Evolution Marché'!$F:$L,7,0)</f>
        <v>0.28512559071729954</v>
      </c>
    </row>
    <row r="1281" spans="1:12" x14ac:dyDescent="0.3">
      <c r="A1281" s="14" t="s">
        <v>23</v>
      </c>
      <c r="B1281" s="15">
        <v>25</v>
      </c>
      <c r="C1281" s="15" t="s">
        <v>9</v>
      </c>
      <c r="D1281" s="15">
        <v>16</v>
      </c>
      <c r="E1281" s="21">
        <v>0.42</v>
      </c>
      <c r="F1281" s="15" t="s">
        <v>18</v>
      </c>
      <c r="G1281" s="15" t="s">
        <v>17</v>
      </c>
      <c r="H1281" s="17">
        <v>46630</v>
      </c>
      <c r="I1281" s="17"/>
      <c r="J1281" s="18"/>
      <c r="K1281" t="str">
        <f t="shared" si="19"/>
        <v>DE25-SDR11</v>
      </c>
      <c r="L1281">
        <f>VLOOKUP(K1281,'[1]Tarif - Evolution Marché'!$F:$L,7,0)</f>
        <v>0.41802311181434587</v>
      </c>
    </row>
    <row r="1282" spans="1:12" x14ac:dyDescent="0.3">
      <c r="A1282" s="8" t="s">
        <v>23</v>
      </c>
      <c r="B1282" s="11">
        <v>32</v>
      </c>
      <c r="C1282" s="11" t="s">
        <v>9</v>
      </c>
      <c r="D1282" s="11">
        <v>16</v>
      </c>
      <c r="E1282" s="21">
        <v>0.68</v>
      </c>
      <c r="F1282" s="11" t="s">
        <v>18</v>
      </c>
      <c r="G1282" s="11" t="s">
        <v>17</v>
      </c>
      <c r="H1282" s="12">
        <v>46630</v>
      </c>
      <c r="I1282" s="12"/>
      <c r="J1282" s="13"/>
      <c r="K1282" t="str">
        <f t="shared" si="19"/>
        <v>DE32-SDR11</v>
      </c>
      <c r="L1282">
        <f>VLOOKUP(K1282,'[1]Tarif - Evolution Marché'!$F:$L,7,0)</f>
        <v>0.68140183544303778</v>
      </c>
    </row>
    <row r="1283" spans="1:12" x14ac:dyDescent="0.3">
      <c r="A1283" s="14" t="s">
        <v>23</v>
      </c>
      <c r="B1283" s="15">
        <v>40</v>
      </c>
      <c r="C1283" s="15" t="s">
        <v>9</v>
      </c>
      <c r="D1283" s="15">
        <v>16</v>
      </c>
      <c r="E1283" s="21">
        <v>1.05</v>
      </c>
      <c r="F1283" s="15" t="s">
        <v>18</v>
      </c>
      <c r="G1283" s="15" t="s">
        <v>17</v>
      </c>
      <c r="H1283" s="17">
        <v>46630</v>
      </c>
      <c r="I1283" s="17"/>
      <c r="J1283" s="18"/>
      <c r="K1283" t="str">
        <f t="shared" ref="K1283:K1346" si="20">CONCATENATE("DE",B1283,"-",C1283)</f>
        <v>DE40-SDR11</v>
      </c>
      <c r="L1283">
        <f>VLOOKUP(K1283,'[1]Tarif - Evolution Marché'!$F:$L,7,0)</f>
        <v>1.048682257383966</v>
      </c>
    </row>
    <row r="1284" spans="1:12" x14ac:dyDescent="0.3">
      <c r="A1284" s="8" t="s">
        <v>23</v>
      </c>
      <c r="B1284" s="11">
        <v>50</v>
      </c>
      <c r="C1284" s="11" t="s">
        <v>9</v>
      </c>
      <c r="D1284" s="11">
        <v>16</v>
      </c>
      <c r="E1284" s="21">
        <v>1.63</v>
      </c>
      <c r="F1284" s="11" t="s">
        <v>18</v>
      </c>
      <c r="G1284" s="11" t="s">
        <v>17</v>
      </c>
      <c r="H1284" s="12">
        <v>46630</v>
      </c>
      <c r="I1284" s="12"/>
      <c r="J1284" s="13"/>
      <c r="K1284" t="str">
        <f t="shared" si="20"/>
        <v>DE50-SDR11</v>
      </c>
      <c r="L1284">
        <f>VLOOKUP(K1284,'[1]Tarif - Evolution Marché'!$F:$L,7,0)</f>
        <v>1.6261823945147678</v>
      </c>
    </row>
    <row r="1285" spans="1:12" x14ac:dyDescent="0.3">
      <c r="A1285" s="14" t="s">
        <v>23</v>
      </c>
      <c r="B1285" s="15">
        <v>63</v>
      </c>
      <c r="C1285" s="15" t="s">
        <v>9</v>
      </c>
      <c r="D1285" s="15">
        <v>16</v>
      </c>
      <c r="E1285" s="21">
        <v>2.56</v>
      </c>
      <c r="F1285" s="15" t="s">
        <v>18</v>
      </c>
      <c r="G1285" s="15" t="s">
        <v>17</v>
      </c>
      <c r="H1285" s="17">
        <v>46630</v>
      </c>
      <c r="I1285" s="17"/>
      <c r="J1285" s="18"/>
      <c r="K1285" t="str">
        <f t="shared" si="20"/>
        <v>DE63-SDR11</v>
      </c>
      <c r="L1285">
        <f>VLOOKUP(K1285,'[1]Tarif - Evolution Marché'!$F:$L,7,0)</f>
        <v>2.5612976793248943</v>
      </c>
    </row>
    <row r="1286" spans="1:12" x14ac:dyDescent="0.3">
      <c r="A1286" s="8" t="s">
        <v>23</v>
      </c>
      <c r="B1286" s="11">
        <v>75</v>
      </c>
      <c r="C1286" s="11" t="s">
        <v>9</v>
      </c>
      <c r="D1286" s="11">
        <v>16</v>
      </c>
      <c r="E1286" s="21">
        <v>3.58</v>
      </c>
      <c r="F1286" s="11" t="s">
        <v>18</v>
      </c>
      <c r="G1286" s="11" t="s">
        <v>17</v>
      </c>
      <c r="H1286" s="12">
        <v>46630</v>
      </c>
      <c r="I1286" s="12"/>
      <c r="J1286" s="13"/>
      <c r="K1286" t="str">
        <f t="shared" si="20"/>
        <v>DE75-SDR11</v>
      </c>
      <c r="L1286">
        <f>VLOOKUP(K1286,'[1]Tarif - Evolution Marché'!$F:$L,7,0)</f>
        <v>3.5761514767932483</v>
      </c>
    </row>
    <row r="1287" spans="1:12" x14ac:dyDescent="0.3">
      <c r="A1287" s="14" t="s">
        <v>23</v>
      </c>
      <c r="B1287" s="15">
        <v>90</v>
      </c>
      <c r="C1287" s="15" t="s">
        <v>9</v>
      </c>
      <c r="D1287" s="15">
        <v>16</v>
      </c>
      <c r="E1287" s="21">
        <v>5.17</v>
      </c>
      <c r="F1287" s="15" t="s">
        <v>18</v>
      </c>
      <c r="G1287" s="15" t="s">
        <v>17</v>
      </c>
      <c r="H1287" s="17">
        <v>46630</v>
      </c>
      <c r="I1287" s="17"/>
      <c r="J1287" s="18"/>
      <c r="K1287" t="str">
        <f t="shared" si="20"/>
        <v>DE90-SDR11</v>
      </c>
      <c r="L1287">
        <f>VLOOKUP(K1287,'[1]Tarif - Evolution Marché'!$F:$L,7,0)</f>
        <v>5.1709217299578052</v>
      </c>
    </row>
    <row r="1288" spans="1:12" x14ac:dyDescent="0.3">
      <c r="A1288" s="8" t="s">
        <v>23</v>
      </c>
      <c r="B1288" s="11">
        <v>110</v>
      </c>
      <c r="C1288" s="11" t="s">
        <v>9</v>
      </c>
      <c r="D1288" s="11">
        <v>16</v>
      </c>
      <c r="E1288" s="21">
        <v>7.68</v>
      </c>
      <c r="F1288" s="11" t="s">
        <v>18</v>
      </c>
      <c r="G1288" s="11" t="s">
        <v>17</v>
      </c>
      <c r="H1288" s="12">
        <v>46630</v>
      </c>
      <c r="I1288" s="12"/>
      <c r="J1288" s="13"/>
      <c r="K1288" t="str">
        <f t="shared" si="20"/>
        <v>DE110-SDR11</v>
      </c>
      <c r="L1288">
        <f>VLOOKUP(K1288,'[1]Tarif - Evolution Marché'!$F:$L,7,0)</f>
        <v>7.6838930379746824</v>
      </c>
    </row>
    <row r="1289" spans="1:12" x14ac:dyDescent="0.3">
      <c r="A1289" s="14" t="s">
        <v>23</v>
      </c>
      <c r="B1289" s="15">
        <v>125</v>
      </c>
      <c r="C1289" s="15" t="s">
        <v>9</v>
      </c>
      <c r="D1289" s="15">
        <v>16</v>
      </c>
      <c r="E1289" s="21">
        <v>9.9600000000000009</v>
      </c>
      <c r="F1289" s="15" t="s">
        <v>18</v>
      </c>
      <c r="G1289" s="15" t="s">
        <v>17</v>
      </c>
      <c r="H1289" s="17">
        <v>46630</v>
      </c>
      <c r="I1289" s="15">
        <v>2400</v>
      </c>
      <c r="J1289" s="18">
        <v>2800</v>
      </c>
      <c r="K1289" t="str">
        <f t="shared" si="20"/>
        <v>DE125-SDR11</v>
      </c>
      <c r="L1289">
        <f>VLOOKUP(K1289,'[1]Tarif - Evolution Marché'!$F:$L,7,0)</f>
        <v>9.9552324894514754</v>
      </c>
    </row>
    <row r="1290" spans="1:12" x14ac:dyDescent="0.3">
      <c r="A1290" s="8" t="s">
        <v>23</v>
      </c>
      <c r="B1290" s="11">
        <v>140</v>
      </c>
      <c r="C1290" s="11" t="s">
        <v>9</v>
      </c>
      <c r="D1290" s="11">
        <v>16</v>
      </c>
      <c r="E1290" s="21">
        <v>12.4</v>
      </c>
      <c r="F1290" s="11" t="s">
        <v>18</v>
      </c>
      <c r="G1290" s="11" t="s">
        <v>17</v>
      </c>
      <c r="H1290" s="12">
        <v>46630</v>
      </c>
      <c r="I1290" s="11">
        <v>1920</v>
      </c>
      <c r="J1290" s="13">
        <v>2240</v>
      </c>
      <c r="K1290" t="str">
        <f t="shared" si="20"/>
        <v>DE140-SDR11</v>
      </c>
      <c r="L1290">
        <f>VLOOKUP(K1290,'[1]Tarif - Evolution Marché'!$F:$L,7,0)</f>
        <v>12.395714240506326</v>
      </c>
    </row>
    <row r="1291" spans="1:12" x14ac:dyDescent="0.3">
      <c r="A1291" s="14" t="s">
        <v>23</v>
      </c>
      <c r="B1291" s="15">
        <v>160</v>
      </c>
      <c r="C1291" s="15" t="s">
        <v>9</v>
      </c>
      <c r="D1291" s="15">
        <v>16</v>
      </c>
      <c r="E1291" s="21">
        <v>16.29</v>
      </c>
      <c r="F1291" s="15" t="s">
        <v>18</v>
      </c>
      <c r="G1291" s="15" t="s">
        <v>17</v>
      </c>
      <c r="H1291" s="17">
        <v>46630</v>
      </c>
      <c r="I1291" s="15">
        <v>1920</v>
      </c>
      <c r="J1291" s="18">
        <v>2240</v>
      </c>
      <c r="K1291" t="str">
        <f t="shared" si="20"/>
        <v>DE160-SDR11</v>
      </c>
      <c r="L1291">
        <f>VLOOKUP(K1291,'[1]Tarif - Evolution Marché'!$F:$L,7,0)</f>
        <v>16.285987130801686</v>
      </c>
    </row>
    <row r="1292" spans="1:12" x14ac:dyDescent="0.3">
      <c r="A1292" s="8" t="s">
        <v>23</v>
      </c>
      <c r="B1292" s="11">
        <v>180</v>
      </c>
      <c r="C1292" s="11" t="s">
        <v>9</v>
      </c>
      <c r="D1292" s="11">
        <v>16</v>
      </c>
      <c r="E1292" s="21">
        <v>20.56</v>
      </c>
      <c r="F1292" s="11" t="s">
        <v>18</v>
      </c>
      <c r="G1292" s="11" t="s">
        <v>17</v>
      </c>
      <c r="H1292" s="12">
        <v>46630</v>
      </c>
      <c r="I1292" s="11">
        <v>1200</v>
      </c>
      <c r="J1292" s="13">
        <v>1400</v>
      </c>
      <c r="K1292" t="str">
        <f t="shared" si="20"/>
        <v>DE180-SDR11</v>
      </c>
      <c r="L1292">
        <f>VLOOKUP(K1292,'[1]Tarif - Evolution Marché'!$F:$L,7,0)</f>
        <v>20.562870991561176</v>
      </c>
    </row>
    <row r="1293" spans="1:12" x14ac:dyDescent="0.3">
      <c r="A1293" s="14" t="s">
        <v>23</v>
      </c>
      <c r="B1293" s="15">
        <v>200</v>
      </c>
      <c r="C1293" s="15" t="s">
        <v>9</v>
      </c>
      <c r="D1293" s="15">
        <v>16</v>
      </c>
      <c r="E1293" s="21">
        <v>25.37</v>
      </c>
      <c r="F1293" s="15" t="s">
        <v>18</v>
      </c>
      <c r="G1293" s="15" t="s">
        <v>17</v>
      </c>
      <c r="H1293" s="17">
        <v>46630</v>
      </c>
      <c r="I1293" s="15">
        <v>960</v>
      </c>
      <c r="J1293" s="18">
        <v>1120</v>
      </c>
      <c r="K1293" t="str">
        <f t="shared" si="20"/>
        <v>DE200-SDR11</v>
      </c>
      <c r="L1293">
        <f>VLOOKUP(K1293,'[1]Tarif - Evolution Marché'!$F:$L,7,0)</f>
        <v>25.371344936708855</v>
      </c>
    </row>
    <row r="1294" spans="1:12" x14ac:dyDescent="0.3">
      <c r="A1294" s="8" t="s">
        <v>23</v>
      </c>
      <c r="B1294" s="11">
        <v>225</v>
      </c>
      <c r="C1294" s="11" t="s">
        <v>9</v>
      </c>
      <c r="D1294" s="11">
        <v>16</v>
      </c>
      <c r="E1294" s="21">
        <v>32.14</v>
      </c>
      <c r="F1294" s="11" t="s">
        <v>18</v>
      </c>
      <c r="G1294" s="11" t="s">
        <v>17</v>
      </c>
      <c r="H1294" s="12">
        <v>46630</v>
      </c>
      <c r="I1294" s="11">
        <v>960</v>
      </c>
      <c r="J1294" s="13">
        <v>1120</v>
      </c>
      <c r="K1294" t="str">
        <f t="shared" si="20"/>
        <v>DE225-SDR11</v>
      </c>
      <c r="L1294">
        <f>VLOOKUP(K1294,'[1]Tarif - Evolution Marché'!$F:$L,7,0)</f>
        <v>32.137036919831218</v>
      </c>
    </row>
    <row r="1295" spans="1:12" x14ac:dyDescent="0.3">
      <c r="A1295" s="14" t="s">
        <v>23</v>
      </c>
      <c r="B1295" s="15">
        <v>250</v>
      </c>
      <c r="C1295" s="15" t="s">
        <v>9</v>
      </c>
      <c r="D1295" s="15">
        <v>16</v>
      </c>
      <c r="E1295" s="21">
        <v>39.39</v>
      </c>
      <c r="F1295" s="15" t="s">
        <v>18</v>
      </c>
      <c r="G1295" s="15" t="s">
        <v>17</v>
      </c>
      <c r="H1295" s="17">
        <v>46630</v>
      </c>
      <c r="I1295" s="15">
        <v>672</v>
      </c>
      <c r="J1295" s="18">
        <v>784</v>
      </c>
      <c r="K1295" t="str">
        <f t="shared" si="20"/>
        <v>DE250-SDR11</v>
      </c>
      <c r="L1295">
        <f>VLOOKUP(K1295,'[1]Tarif - Evolution Marché'!$F:$L,7,0)</f>
        <v>39.385992616033747</v>
      </c>
    </row>
    <row r="1296" spans="1:12" x14ac:dyDescent="0.3">
      <c r="A1296" s="8" t="s">
        <v>23</v>
      </c>
      <c r="B1296" s="11">
        <v>280</v>
      </c>
      <c r="C1296" s="11" t="s">
        <v>9</v>
      </c>
      <c r="D1296" s="11">
        <v>16</v>
      </c>
      <c r="E1296" s="21">
        <v>49.53</v>
      </c>
      <c r="F1296" s="11" t="s">
        <v>18</v>
      </c>
      <c r="G1296" s="11" t="s">
        <v>17</v>
      </c>
      <c r="H1296" s="12">
        <v>46630</v>
      </c>
      <c r="I1296" s="11">
        <v>672</v>
      </c>
      <c r="J1296" s="13">
        <v>784</v>
      </c>
      <c r="K1296" t="str">
        <f t="shared" si="20"/>
        <v>DE280-SDR11</v>
      </c>
      <c r="L1296">
        <f>VLOOKUP(K1296,'[1]Tarif - Evolution Marché'!$F:$L,7,0)</f>
        <v>49.534530590717289</v>
      </c>
    </row>
    <row r="1297" spans="1:12" x14ac:dyDescent="0.3">
      <c r="A1297" s="14" t="s">
        <v>23</v>
      </c>
      <c r="B1297" s="15">
        <v>315</v>
      </c>
      <c r="C1297" s="15" t="s">
        <v>9</v>
      </c>
      <c r="D1297" s="15">
        <v>16</v>
      </c>
      <c r="E1297" s="21">
        <v>62.58</v>
      </c>
      <c r="F1297" s="15" t="s">
        <v>18</v>
      </c>
      <c r="G1297" s="15" t="s">
        <v>17</v>
      </c>
      <c r="H1297" s="17">
        <v>46630</v>
      </c>
      <c r="I1297" s="15">
        <v>432</v>
      </c>
      <c r="J1297" s="18">
        <v>504</v>
      </c>
      <c r="K1297" t="str">
        <f t="shared" si="20"/>
        <v>DE315-SDR11</v>
      </c>
      <c r="L1297">
        <f>VLOOKUP(K1297,'[1]Tarif - Evolution Marché'!$F:$L,7,0)</f>
        <v>62.582650843881844</v>
      </c>
    </row>
    <row r="1298" spans="1:12" x14ac:dyDescent="0.3">
      <c r="A1298" s="8" t="s">
        <v>23</v>
      </c>
      <c r="B1298" s="11">
        <v>355</v>
      </c>
      <c r="C1298" s="11" t="s">
        <v>9</v>
      </c>
      <c r="D1298" s="11">
        <v>16</v>
      </c>
      <c r="E1298" s="21">
        <v>79.5</v>
      </c>
      <c r="F1298" s="11" t="s">
        <v>18</v>
      </c>
      <c r="G1298" s="11" t="s">
        <v>17</v>
      </c>
      <c r="H1298" s="12">
        <v>46630</v>
      </c>
      <c r="I1298" s="11">
        <v>360</v>
      </c>
      <c r="J1298" s="13">
        <v>420</v>
      </c>
      <c r="K1298" t="str">
        <f t="shared" si="20"/>
        <v>DE355-SDR11</v>
      </c>
      <c r="L1298">
        <f>VLOOKUP(K1298,'[1]Tarif - Evolution Marché'!$F:$L,7,0)</f>
        <v>79.496880801687752</v>
      </c>
    </row>
    <row r="1299" spans="1:12" x14ac:dyDescent="0.3">
      <c r="A1299" s="14" t="s">
        <v>23</v>
      </c>
      <c r="B1299" s="15">
        <v>400</v>
      </c>
      <c r="C1299" s="15" t="s">
        <v>9</v>
      </c>
      <c r="D1299" s="15">
        <v>16</v>
      </c>
      <c r="E1299" s="21">
        <v>100.76</v>
      </c>
      <c r="F1299" s="15" t="s">
        <v>18</v>
      </c>
      <c r="G1299" s="15" t="s">
        <v>17</v>
      </c>
      <c r="H1299" s="17">
        <v>46630</v>
      </c>
      <c r="I1299" s="15">
        <v>360</v>
      </c>
      <c r="J1299" s="18">
        <v>420</v>
      </c>
      <c r="K1299" t="str">
        <f t="shared" si="20"/>
        <v>DE400-SDR11</v>
      </c>
      <c r="L1299">
        <f>VLOOKUP(K1299,'[1]Tarif - Evolution Marché'!$F:$L,7,0)</f>
        <v>100.76048417721518</v>
      </c>
    </row>
    <row r="1300" spans="1:12" x14ac:dyDescent="0.3">
      <c r="A1300" s="8" t="s">
        <v>23</v>
      </c>
      <c r="B1300" s="11">
        <v>450</v>
      </c>
      <c r="C1300" s="11" t="s">
        <v>9</v>
      </c>
      <c r="D1300" s="11">
        <v>16</v>
      </c>
      <c r="E1300" s="21">
        <v>127.58</v>
      </c>
      <c r="F1300" s="11" t="s">
        <v>18</v>
      </c>
      <c r="G1300" s="11" t="s">
        <v>17</v>
      </c>
      <c r="H1300" s="12">
        <v>46630</v>
      </c>
      <c r="I1300" s="11">
        <v>192</v>
      </c>
      <c r="J1300" s="13">
        <v>224</v>
      </c>
      <c r="K1300" t="str">
        <f t="shared" si="20"/>
        <v>DE450-SDR11</v>
      </c>
      <c r="L1300">
        <f>VLOOKUP(K1300,'[1]Tarif - Evolution Marché'!$F:$L,7,0)</f>
        <v>127.58162025316453</v>
      </c>
    </row>
    <row r="1301" spans="1:12" x14ac:dyDescent="0.3">
      <c r="A1301" s="14" t="s">
        <v>23</v>
      </c>
      <c r="B1301" s="15">
        <v>500</v>
      </c>
      <c r="C1301" s="15" t="s">
        <v>9</v>
      </c>
      <c r="D1301" s="15">
        <v>16</v>
      </c>
      <c r="E1301" s="21">
        <v>157.54</v>
      </c>
      <c r="F1301" s="15" t="s">
        <v>18</v>
      </c>
      <c r="G1301" s="15" t="s">
        <v>17</v>
      </c>
      <c r="H1301" s="17">
        <v>46630</v>
      </c>
      <c r="I1301" s="15">
        <v>192</v>
      </c>
      <c r="J1301" s="18">
        <v>224</v>
      </c>
      <c r="K1301" t="str">
        <f t="shared" si="20"/>
        <v>DE500-SDR11</v>
      </c>
      <c r="L1301">
        <f>VLOOKUP(K1301,'[1]Tarif - Evolution Marché'!$F:$L,7,0)</f>
        <v>157.54397046413499</v>
      </c>
    </row>
    <row r="1302" spans="1:12" x14ac:dyDescent="0.3">
      <c r="A1302" s="8" t="s">
        <v>23</v>
      </c>
      <c r="B1302" s="11">
        <v>560</v>
      </c>
      <c r="C1302" s="11" t="s">
        <v>9</v>
      </c>
      <c r="D1302" s="11">
        <v>16</v>
      </c>
      <c r="E1302" s="21">
        <v>197.41</v>
      </c>
      <c r="F1302" s="11" t="s">
        <v>18</v>
      </c>
      <c r="G1302" s="11" t="s">
        <v>17</v>
      </c>
      <c r="H1302" s="12">
        <v>46630</v>
      </c>
      <c r="I1302" s="11">
        <v>192</v>
      </c>
      <c r="J1302" s="13">
        <v>224</v>
      </c>
      <c r="K1302" t="str">
        <f t="shared" si="20"/>
        <v>DE560-SDR11</v>
      </c>
      <c r="L1302">
        <f>VLOOKUP(K1302,'[1]Tarif - Evolution Marché'!$F:$L,7,0)</f>
        <v>197.41322679324892</v>
      </c>
    </row>
    <row r="1303" spans="1:12" x14ac:dyDescent="0.3">
      <c r="A1303" s="14" t="s">
        <v>23</v>
      </c>
      <c r="B1303" s="15">
        <v>630</v>
      </c>
      <c r="C1303" s="15" t="s">
        <v>9</v>
      </c>
      <c r="D1303" s="15">
        <v>16</v>
      </c>
      <c r="E1303" s="21">
        <v>248.88</v>
      </c>
      <c r="F1303" s="15" t="s">
        <v>18</v>
      </c>
      <c r="G1303" s="15" t="s">
        <v>17</v>
      </c>
      <c r="H1303" s="17">
        <v>46630</v>
      </c>
      <c r="I1303" s="15">
        <v>108</v>
      </c>
      <c r="J1303" s="18">
        <v>126</v>
      </c>
      <c r="K1303" t="str">
        <f t="shared" si="20"/>
        <v>DE630-SDR11</v>
      </c>
      <c r="L1303">
        <f>VLOOKUP(K1303,'[1]Tarif - Evolution Marché'!$F:$L,7,0)</f>
        <v>248.88081223628689</v>
      </c>
    </row>
    <row r="1304" spans="1:12" x14ac:dyDescent="0.3">
      <c r="A1304" s="8" t="s">
        <v>23</v>
      </c>
      <c r="B1304" s="11">
        <v>710</v>
      </c>
      <c r="C1304" s="11" t="s">
        <v>9</v>
      </c>
      <c r="D1304" s="11">
        <v>16</v>
      </c>
      <c r="E1304" s="21">
        <v>316.54000000000002</v>
      </c>
      <c r="F1304" s="11" t="s">
        <v>18</v>
      </c>
      <c r="G1304" s="11" t="s">
        <v>17</v>
      </c>
      <c r="H1304" s="12">
        <v>46630</v>
      </c>
      <c r="I1304" s="11">
        <v>108</v>
      </c>
      <c r="J1304" s="13">
        <v>126</v>
      </c>
      <c r="K1304" t="str">
        <f t="shared" si="20"/>
        <v>DE710-SDR11</v>
      </c>
      <c r="L1304">
        <f>VLOOKUP(K1304,'[1]Tarif - Evolution Marché'!$F:$L,7,0)</f>
        <v>316.53773206751049</v>
      </c>
    </row>
    <row r="1305" spans="1:12" x14ac:dyDescent="0.3">
      <c r="A1305" s="14" t="s">
        <v>23</v>
      </c>
      <c r="B1305" s="15">
        <v>16</v>
      </c>
      <c r="C1305" s="15" t="s">
        <v>10</v>
      </c>
      <c r="D1305" s="15">
        <v>20</v>
      </c>
      <c r="E1305" s="21">
        <v>0.22</v>
      </c>
      <c r="F1305" s="15" t="s">
        <v>18</v>
      </c>
      <c r="G1305" s="15" t="s">
        <v>17</v>
      </c>
      <c r="H1305" s="17">
        <v>46630</v>
      </c>
      <c r="I1305" s="17"/>
      <c r="J1305" s="18"/>
      <c r="K1305" t="str">
        <f t="shared" si="20"/>
        <v>DE16-SDR9</v>
      </c>
      <c r="L1305">
        <f>VLOOKUP(K1305,'[1]Tarif - Evolution Marché'!$F:$L,7,0)</f>
        <v>0.22230130801687759</v>
      </c>
    </row>
    <row r="1306" spans="1:12" x14ac:dyDescent="0.3">
      <c r="A1306" s="8" t="s">
        <v>23</v>
      </c>
      <c r="B1306" s="11">
        <v>20</v>
      </c>
      <c r="C1306" s="11" t="s">
        <v>10</v>
      </c>
      <c r="D1306" s="11">
        <v>20</v>
      </c>
      <c r="E1306" s="21">
        <v>0.32</v>
      </c>
      <c r="F1306" s="11" t="s">
        <v>18</v>
      </c>
      <c r="G1306" s="11" t="s">
        <v>17</v>
      </c>
      <c r="H1306" s="12">
        <v>46630</v>
      </c>
      <c r="I1306" s="12"/>
      <c r="J1306" s="13"/>
      <c r="K1306" t="str">
        <f t="shared" si="20"/>
        <v>DE20-SDR9</v>
      </c>
      <c r="L1306">
        <f>VLOOKUP(K1306,'[1]Tarif - Evolution Marché'!$F:$L,7,0)</f>
        <v>0.32378668776371305</v>
      </c>
    </row>
    <row r="1307" spans="1:12" x14ac:dyDescent="0.3">
      <c r="A1307" s="14" t="s">
        <v>23</v>
      </c>
      <c r="B1307" s="15">
        <v>25</v>
      </c>
      <c r="C1307" s="15" t="s">
        <v>10</v>
      </c>
      <c r="D1307" s="15">
        <v>20</v>
      </c>
      <c r="E1307" s="21">
        <v>0.49</v>
      </c>
      <c r="F1307" s="15" t="s">
        <v>18</v>
      </c>
      <c r="G1307" s="15" t="s">
        <v>17</v>
      </c>
      <c r="H1307" s="17">
        <v>46630</v>
      </c>
      <c r="I1307" s="17"/>
      <c r="J1307" s="18"/>
      <c r="K1307" t="str">
        <f t="shared" si="20"/>
        <v>DE25-SDR9</v>
      </c>
      <c r="L1307">
        <f>VLOOKUP(K1307,'[1]Tarif - Evolution Marché'!$F:$L,7,0)</f>
        <v>0.48809635021097042</v>
      </c>
    </row>
    <row r="1308" spans="1:12" x14ac:dyDescent="0.3">
      <c r="A1308" s="8" t="s">
        <v>23</v>
      </c>
      <c r="B1308" s="11">
        <v>32</v>
      </c>
      <c r="C1308" s="11" t="s">
        <v>10</v>
      </c>
      <c r="D1308" s="11">
        <v>20</v>
      </c>
      <c r="E1308" s="21">
        <v>0.8</v>
      </c>
      <c r="F1308" s="11" t="s">
        <v>18</v>
      </c>
      <c r="G1308" s="11" t="s">
        <v>17</v>
      </c>
      <c r="H1308" s="12">
        <v>46630</v>
      </c>
      <c r="I1308" s="12"/>
      <c r="J1308" s="13"/>
      <c r="K1308" t="str">
        <f t="shared" si="20"/>
        <v>DE32-SDR9</v>
      </c>
      <c r="L1308">
        <f>VLOOKUP(K1308,'[1]Tarif - Evolution Marché'!$F:$L,7,0)</f>
        <v>0.79980144514767926</v>
      </c>
    </row>
    <row r="1309" spans="1:12" x14ac:dyDescent="0.3">
      <c r="A1309" s="14" t="s">
        <v>23</v>
      </c>
      <c r="B1309" s="15">
        <v>40</v>
      </c>
      <c r="C1309" s="15" t="s">
        <v>10</v>
      </c>
      <c r="D1309" s="15">
        <v>20</v>
      </c>
      <c r="E1309" s="21">
        <v>1.24</v>
      </c>
      <c r="F1309" s="15" t="s">
        <v>18</v>
      </c>
      <c r="G1309" s="15" t="s">
        <v>17</v>
      </c>
      <c r="H1309" s="17">
        <v>46630</v>
      </c>
      <c r="I1309" s="17"/>
      <c r="J1309" s="18"/>
      <c r="K1309" t="str">
        <f t="shared" si="20"/>
        <v>DE40-SDR9</v>
      </c>
      <c r="L1309">
        <f>VLOOKUP(K1309,'[1]Tarif - Evolution Marché'!$F:$L,7,0)</f>
        <v>1.2419877426160335</v>
      </c>
    </row>
    <row r="1310" spans="1:12" x14ac:dyDescent="0.3">
      <c r="A1310" s="8" t="s">
        <v>23</v>
      </c>
      <c r="B1310" s="11">
        <v>50</v>
      </c>
      <c r="C1310" s="11" t="s">
        <v>10</v>
      </c>
      <c r="D1310" s="11">
        <v>20</v>
      </c>
      <c r="E1310" s="21">
        <v>1.92</v>
      </c>
      <c r="F1310" s="11" t="s">
        <v>18</v>
      </c>
      <c r="G1310" s="11" t="s">
        <v>17</v>
      </c>
      <c r="H1310" s="12">
        <v>46630</v>
      </c>
      <c r="I1310" s="12"/>
      <c r="J1310" s="13"/>
      <c r="K1310" t="str">
        <f t="shared" si="20"/>
        <v>DE50-SDR9</v>
      </c>
      <c r="L1310">
        <f>VLOOKUP(K1310,'[1]Tarif - Evolution Marché'!$F:$L,7,0)</f>
        <v>1.9233895780590715</v>
      </c>
    </row>
    <row r="1311" spans="1:12" x14ac:dyDescent="0.3">
      <c r="A1311" s="14" t="s">
        <v>23</v>
      </c>
      <c r="B1311" s="15">
        <v>63</v>
      </c>
      <c r="C1311" s="15" t="s">
        <v>10</v>
      </c>
      <c r="D1311" s="15">
        <v>20</v>
      </c>
      <c r="E1311" s="21">
        <v>3.07</v>
      </c>
      <c r="F1311" s="15" t="s">
        <v>18</v>
      </c>
      <c r="G1311" s="15" t="s">
        <v>17</v>
      </c>
      <c r="H1311" s="17">
        <v>46630</v>
      </c>
      <c r="I1311" s="17"/>
      <c r="J1311" s="18"/>
      <c r="K1311" t="str">
        <f t="shared" si="20"/>
        <v>DE63-SDR9</v>
      </c>
      <c r="L1311">
        <f>VLOOKUP(K1311,'[1]Tarif - Evolution Marché'!$F:$L,7,0)</f>
        <v>3.0687245780590713</v>
      </c>
    </row>
    <row r="1312" spans="1:12" x14ac:dyDescent="0.3">
      <c r="A1312" s="8" t="s">
        <v>23</v>
      </c>
      <c r="B1312" s="11">
        <v>75</v>
      </c>
      <c r="C1312" s="11" t="s">
        <v>10</v>
      </c>
      <c r="D1312" s="11">
        <v>20</v>
      </c>
      <c r="E1312" s="21">
        <v>4.3</v>
      </c>
      <c r="F1312" s="11" t="s">
        <v>18</v>
      </c>
      <c r="G1312" s="11" t="s">
        <v>17</v>
      </c>
      <c r="H1312" s="12">
        <v>46630</v>
      </c>
      <c r="I1312" s="12"/>
      <c r="J1312" s="13"/>
      <c r="K1312" t="str">
        <f t="shared" si="20"/>
        <v>DE75-SDR9</v>
      </c>
      <c r="L1312">
        <f>VLOOKUP(K1312,'[1]Tarif - Evolution Marché'!$F:$L,7,0)</f>
        <v>4.3010470464135011</v>
      </c>
    </row>
    <row r="1313" spans="1:12" x14ac:dyDescent="0.3">
      <c r="A1313" s="14" t="s">
        <v>23</v>
      </c>
      <c r="B1313" s="15">
        <v>90</v>
      </c>
      <c r="C1313" s="15" t="s">
        <v>10</v>
      </c>
      <c r="D1313" s="15">
        <v>20</v>
      </c>
      <c r="E1313" s="21">
        <v>6.21</v>
      </c>
      <c r="F1313" s="15" t="s">
        <v>18</v>
      </c>
      <c r="G1313" s="15" t="s">
        <v>17</v>
      </c>
      <c r="H1313" s="17">
        <v>46630</v>
      </c>
      <c r="I1313" s="17"/>
      <c r="J1313" s="18"/>
      <c r="K1313" t="str">
        <f t="shared" si="20"/>
        <v>DE90-SDR9</v>
      </c>
      <c r="L1313">
        <f>VLOOKUP(K1313,'[1]Tarif - Evolution Marché'!$F:$L,7,0)</f>
        <v>6.2099387130801675</v>
      </c>
    </row>
    <row r="1314" spans="1:12" x14ac:dyDescent="0.3">
      <c r="A1314" s="8" t="s">
        <v>23</v>
      </c>
      <c r="B1314" s="11">
        <v>110</v>
      </c>
      <c r="C1314" s="11" t="s">
        <v>10</v>
      </c>
      <c r="D1314" s="11">
        <v>20</v>
      </c>
      <c r="E1314" s="21">
        <v>9.23</v>
      </c>
      <c r="F1314" s="11" t="s">
        <v>18</v>
      </c>
      <c r="G1314" s="11" t="s">
        <v>17</v>
      </c>
      <c r="H1314" s="12">
        <v>46630</v>
      </c>
      <c r="I1314" s="12"/>
      <c r="J1314" s="13"/>
      <c r="K1314" t="str">
        <f t="shared" si="20"/>
        <v>DE110-SDR9</v>
      </c>
      <c r="L1314">
        <f>VLOOKUP(K1314,'[1]Tarif - Evolution Marché'!$F:$L,7,0)</f>
        <v>9.2303369198312222</v>
      </c>
    </row>
    <row r="1315" spans="1:12" x14ac:dyDescent="0.3">
      <c r="A1315" s="14" t="s">
        <v>23</v>
      </c>
      <c r="B1315" s="15">
        <v>125</v>
      </c>
      <c r="C1315" s="15" t="s">
        <v>10</v>
      </c>
      <c r="D1315" s="15">
        <v>20</v>
      </c>
      <c r="E1315" s="21">
        <v>11.89</v>
      </c>
      <c r="F1315" s="15" t="s">
        <v>18</v>
      </c>
      <c r="G1315" s="15" t="s">
        <v>17</v>
      </c>
      <c r="H1315" s="17">
        <v>46630</v>
      </c>
      <c r="I1315" s="15">
        <v>2400</v>
      </c>
      <c r="J1315" s="18">
        <v>2800</v>
      </c>
      <c r="K1315" t="str">
        <f t="shared" si="20"/>
        <v>DE125-SDR9</v>
      </c>
      <c r="L1315">
        <f>VLOOKUP(K1315,'[1]Tarif - Evolution Marché'!$F:$L,7,0)</f>
        <v>11.88828734177215</v>
      </c>
    </row>
    <row r="1316" spans="1:12" x14ac:dyDescent="0.3">
      <c r="A1316" s="8" t="s">
        <v>23</v>
      </c>
      <c r="B1316" s="11">
        <v>140</v>
      </c>
      <c r="C1316" s="11" t="s">
        <v>10</v>
      </c>
      <c r="D1316" s="11">
        <v>20</v>
      </c>
      <c r="E1316" s="21">
        <v>14.93</v>
      </c>
      <c r="F1316" s="11" t="s">
        <v>18</v>
      </c>
      <c r="G1316" s="11" t="s">
        <v>17</v>
      </c>
      <c r="H1316" s="12">
        <v>46630</v>
      </c>
      <c r="I1316" s="11">
        <v>1920</v>
      </c>
      <c r="J1316" s="13">
        <v>2240</v>
      </c>
      <c r="K1316" t="str">
        <f t="shared" si="20"/>
        <v>DE140-SDR9</v>
      </c>
      <c r="L1316">
        <f>VLOOKUP(K1316,'[1]Tarif - Evolution Marché'!$F:$L,7,0)</f>
        <v>14.932848734177211</v>
      </c>
    </row>
    <row r="1317" spans="1:12" x14ac:dyDescent="0.3">
      <c r="A1317" s="14" t="s">
        <v>23</v>
      </c>
      <c r="B1317" s="15">
        <v>160</v>
      </c>
      <c r="C1317" s="15" t="s">
        <v>10</v>
      </c>
      <c r="D1317" s="15">
        <v>20</v>
      </c>
      <c r="E1317" s="21">
        <v>19.43</v>
      </c>
      <c r="F1317" s="15" t="s">
        <v>18</v>
      </c>
      <c r="G1317" s="15" t="s">
        <v>17</v>
      </c>
      <c r="H1317" s="17">
        <v>46630</v>
      </c>
      <c r="I1317" s="15">
        <v>1920</v>
      </c>
      <c r="J1317" s="18">
        <v>2240</v>
      </c>
      <c r="K1317" t="str">
        <f t="shared" si="20"/>
        <v>DE160-SDR9</v>
      </c>
      <c r="L1317">
        <f>VLOOKUP(K1317,'[1]Tarif - Evolution Marché'!$F:$L,7,0)</f>
        <v>19.427201265822781</v>
      </c>
    </row>
    <row r="1318" spans="1:12" x14ac:dyDescent="0.3">
      <c r="A1318" s="8" t="s">
        <v>23</v>
      </c>
      <c r="B1318" s="11">
        <v>180</v>
      </c>
      <c r="C1318" s="11" t="s">
        <v>10</v>
      </c>
      <c r="D1318" s="11">
        <v>20</v>
      </c>
      <c r="E1318" s="21">
        <v>24.65</v>
      </c>
      <c r="F1318" s="11" t="s">
        <v>18</v>
      </c>
      <c r="G1318" s="11" t="s">
        <v>17</v>
      </c>
      <c r="H1318" s="12">
        <v>46630</v>
      </c>
      <c r="I1318" s="11">
        <v>1200</v>
      </c>
      <c r="J1318" s="13">
        <v>1400</v>
      </c>
      <c r="K1318" t="str">
        <f t="shared" si="20"/>
        <v>DE180-SDR9</v>
      </c>
      <c r="L1318">
        <f>VLOOKUP(K1318,'[1]Tarif - Evolution Marché'!$F:$L,7,0)</f>
        <v>24.6464493670886</v>
      </c>
    </row>
    <row r="1319" spans="1:12" x14ac:dyDescent="0.3">
      <c r="A1319" s="14" t="s">
        <v>23</v>
      </c>
      <c r="B1319" s="15">
        <v>200</v>
      </c>
      <c r="C1319" s="15" t="s">
        <v>10</v>
      </c>
      <c r="D1319" s="15">
        <v>20</v>
      </c>
      <c r="E1319" s="21">
        <v>30.45</v>
      </c>
      <c r="F1319" s="15" t="s">
        <v>18</v>
      </c>
      <c r="G1319" s="15" t="s">
        <v>17</v>
      </c>
      <c r="H1319" s="17">
        <v>46630</v>
      </c>
      <c r="I1319" s="15">
        <v>960</v>
      </c>
      <c r="J1319" s="18">
        <v>1120</v>
      </c>
      <c r="K1319" t="str">
        <f t="shared" si="20"/>
        <v>DE200-SDR9</v>
      </c>
      <c r="L1319">
        <f>VLOOKUP(K1319,'[1]Tarif - Evolution Marché'!$F:$L,7,0)</f>
        <v>30.445613924050626</v>
      </c>
    </row>
    <row r="1320" spans="1:12" x14ac:dyDescent="0.3">
      <c r="A1320" s="8" t="s">
        <v>23</v>
      </c>
      <c r="B1320" s="11">
        <v>225</v>
      </c>
      <c r="C1320" s="11" t="s">
        <v>10</v>
      </c>
      <c r="D1320" s="11">
        <v>20</v>
      </c>
      <c r="E1320" s="21">
        <v>38.42</v>
      </c>
      <c r="F1320" s="11" t="s">
        <v>18</v>
      </c>
      <c r="G1320" s="11" t="s">
        <v>17</v>
      </c>
      <c r="H1320" s="12">
        <v>46630</v>
      </c>
      <c r="I1320" s="11">
        <v>960</v>
      </c>
      <c r="J1320" s="13">
        <v>1120</v>
      </c>
      <c r="K1320" t="str">
        <f t="shared" si="20"/>
        <v>DE225-SDR9</v>
      </c>
      <c r="L1320">
        <f>VLOOKUP(K1320,'[1]Tarif - Evolution Marché'!$F:$L,7,0)</f>
        <v>38.419465189873414</v>
      </c>
    </row>
    <row r="1321" spans="1:12" x14ac:dyDescent="0.3">
      <c r="A1321" s="14" t="s">
        <v>23</v>
      </c>
      <c r="B1321" s="15">
        <v>250</v>
      </c>
      <c r="C1321" s="15" t="s">
        <v>10</v>
      </c>
      <c r="D1321" s="15">
        <v>20</v>
      </c>
      <c r="E1321" s="21">
        <v>47.36</v>
      </c>
      <c r="F1321" s="15" t="s">
        <v>18</v>
      </c>
      <c r="G1321" s="15" t="s">
        <v>17</v>
      </c>
      <c r="H1321" s="17">
        <v>46630</v>
      </c>
      <c r="I1321" s="15">
        <v>672</v>
      </c>
      <c r="J1321" s="18">
        <v>784</v>
      </c>
      <c r="K1321" t="str">
        <f t="shared" si="20"/>
        <v>DE250-SDR9</v>
      </c>
      <c r="L1321">
        <f>VLOOKUP(K1321,'[1]Tarif - Evolution Marché'!$F:$L,7,0)</f>
        <v>47.359843881856534</v>
      </c>
    </row>
    <row r="1322" spans="1:12" x14ac:dyDescent="0.3">
      <c r="A1322" s="8" t="s">
        <v>23</v>
      </c>
      <c r="B1322" s="11">
        <v>280</v>
      </c>
      <c r="C1322" s="11" t="s">
        <v>10</v>
      </c>
      <c r="D1322" s="11">
        <v>20</v>
      </c>
      <c r="E1322" s="21">
        <v>59.44</v>
      </c>
      <c r="F1322" s="11" t="s">
        <v>18</v>
      </c>
      <c r="G1322" s="11" t="s">
        <v>17</v>
      </c>
      <c r="H1322" s="12">
        <v>46630</v>
      </c>
      <c r="I1322" s="11">
        <v>672</v>
      </c>
      <c r="J1322" s="13">
        <v>784</v>
      </c>
      <c r="K1322" t="str">
        <f t="shared" si="20"/>
        <v>DE280-SDR9</v>
      </c>
      <c r="L1322">
        <f>VLOOKUP(K1322,'[1]Tarif - Evolution Marché'!$F:$L,7,0)</f>
        <v>59.441436708860749</v>
      </c>
    </row>
    <row r="1323" spans="1:12" x14ac:dyDescent="0.3">
      <c r="A1323" s="14" t="s">
        <v>23</v>
      </c>
      <c r="B1323" s="15">
        <v>315</v>
      </c>
      <c r="C1323" s="15" t="s">
        <v>10</v>
      </c>
      <c r="D1323" s="15">
        <v>20</v>
      </c>
      <c r="E1323" s="21">
        <v>75.150000000000006</v>
      </c>
      <c r="F1323" s="15" t="s">
        <v>18</v>
      </c>
      <c r="G1323" s="15" t="s">
        <v>17</v>
      </c>
      <c r="H1323" s="17">
        <v>46630</v>
      </c>
      <c r="I1323" s="15">
        <v>432</v>
      </c>
      <c r="J1323" s="18">
        <v>504</v>
      </c>
      <c r="K1323" t="str">
        <f t="shared" si="20"/>
        <v>DE315-SDR9</v>
      </c>
      <c r="L1323">
        <f>VLOOKUP(K1323,'[1]Tarif - Evolution Marché'!$F:$L,7,0)</f>
        <v>75.147507383966229</v>
      </c>
    </row>
    <row r="1324" spans="1:12" x14ac:dyDescent="0.3">
      <c r="A1324" s="8" t="s">
        <v>23</v>
      </c>
      <c r="B1324" s="11">
        <v>355</v>
      </c>
      <c r="C1324" s="11" t="s">
        <v>10</v>
      </c>
      <c r="D1324" s="11">
        <v>20</v>
      </c>
      <c r="E1324" s="21">
        <v>95.44</v>
      </c>
      <c r="F1324" s="11" t="s">
        <v>18</v>
      </c>
      <c r="G1324" s="11" t="s">
        <v>17</v>
      </c>
      <c r="H1324" s="12">
        <v>46630</v>
      </c>
      <c r="I1324" s="11">
        <v>360</v>
      </c>
      <c r="J1324" s="13">
        <v>420</v>
      </c>
      <c r="K1324" t="str">
        <f t="shared" si="20"/>
        <v>DE355-SDR9</v>
      </c>
      <c r="L1324">
        <f>VLOOKUP(K1324,'[1]Tarif - Evolution Marché'!$F:$L,7,0)</f>
        <v>95.444583333333313</v>
      </c>
    </row>
    <row r="1325" spans="1:12" x14ac:dyDescent="0.3">
      <c r="A1325" s="14" t="s">
        <v>23</v>
      </c>
      <c r="B1325" s="15">
        <v>400</v>
      </c>
      <c r="C1325" s="15" t="s">
        <v>10</v>
      </c>
      <c r="D1325" s="15">
        <v>20</v>
      </c>
      <c r="E1325" s="21">
        <v>121.06</v>
      </c>
      <c r="F1325" s="15" t="s">
        <v>18</v>
      </c>
      <c r="G1325" s="15" t="s">
        <v>17</v>
      </c>
      <c r="H1325" s="17">
        <v>46630</v>
      </c>
      <c r="I1325" s="15">
        <v>360</v>
      </c>
      <c r="J1325" s="18">
        <v>420</v>
      </c>
      <c r="K1325" t="str">
        <f t="shared" si="20"/>
        <v>DE400-SDR9</v>
      </c>
      <c r="L1325">
        <f>VLOOKUP(K1325,'[1]Tarif - Evolution Marché'!$F:$L,7,0)</f>
        <v>121.05756012658226</v>
      </c>
    </row>
    <row r="1326" spans="1:12" x14ac:dyDescent="0.3">
      <c r="A1326" s="8" t="s">
        <v>23</v>
      </c>
      <c r="B1326" s="11">
        <v>450</v>
      </c>
      <c r="C1326" s="11" t="s">
        <v>10</v>
      </c>
      <c r="D1326" s="11">
        <v>20</v>
      </c>
      <c r="E1326" s="21">
        <v>153.19</v>
      </c>
      <c r="F1326" s="11" t="s">
        <v>18</v>
      </c>
      <c r="G1326" s="11" t="s">
        <v>17</v>
      </c>
      <c r="H1326" s="12">
        <v>46630</v>
      </c>
      <c r="I1326" s="11">
        <v>192</v>
      </c>
      <c r="J1326" s="13">
        <v>224</v>
      </c>
      <c r="K1326" t="str">
        <f t="shared" si="20"/>
        <v>DE450-SDR9</v>
      </c>
      <c r="L1326">
        <f>VLOOKUP(K1326,'[1]Tarif - Evolution Marché'!$F:$L,7,0)</f>
        <v>153.19459704641346</v>
      </c>
    </row>
    <row r="1327" spans="1:12" x14ac:dyDescent="0.3">
      <c r="A1327" s="14" t="s">
        <v>23</v>
      </c>
      <c r="B1327" s="15">
        <v>500</v>
      </c>
      <c r="C1327" s="15" t="s">
        <v>10</v>
      </c>
      <c r="D1327" s="15">
        <v>20</v>
      </c>
      <c r="E1327" s="21">
        <v>188.71</v>
      </c>
      <c r="F1327" s="15" t="s">
        <v>18</v>
      </c>
      <c r="G1327" s="15" t="s">
        <v>17</v>
      </c>
      <c r="H1327" s="17">
        <v>46630</v>
      </c>
      <c r="I1327" s="15">
        <v>192</v>
      </c>
      <c r="J1327" s="18">
        <v>224</v>
      </c>
      <c r="K1327" t="str">
        <f t="shared" si="20"/>
        <v>DE500-SDR9</v>
      </c>
      <c r="L1327">
        <f>VLOOKUP(K1327,'[1]Tarif - Evolution Marché'!$F:$L,7,0)</f>
        <v>188.71447995780585</v>
      </c>
    </row>
    <row r="1328" spans="1:12" x14ac:dyDescent="0.3">
      <c r="A1328" s="8" t="s">
        <v>23</v>
      </c>
      <c r="B1328" s="11">
        <v>560</v>
      </c>
      <c r="C1328" s="11" t="s">
        <v>10</v>
      </c>
      <c r="D1328" s="11">
        <v>20</v>
      </c>
      <c r="E1328" s="21">
        <v>236.8</v>
      </c>
      <c r="F1328" s="11" t="s">
        <v>18</v>
      </c>
      <c r="G1328" s="11" t="s">
        <v>17</v>
      </c>
      <c r="H1328" s="12">
        <v>46630</v>
      </c>
      <c r="I1328" s="11">
        <v>192</v>
      </c>
      <c r="J1328" s="13">
        <v>224</v>
      </c>
      <c r="K1328" t="str">
        <f t="shared" si="20"/>
        <v>DE560-SDR9</v>
      </c>
      <c r="L1328">
        <f>VLOOKUP(K1328,'[1]Tarif - Evolution Marché'!$F:$L,7,0)</f>
        <v>236.79921940928267</v>
      </c>
    </row>
    <row r="1329" spans="1:12" x14ac:dyDescent="0.3">
      <c r="A1329" s="14" t="s">
        <v>23</v>
      </c>
      <c r="B1329" s="15">
        <v>16</v>
      </c>
      <c r="C1329" s="15" t="s">
        <v>11</v>
      </c>
      <c r="D1329" s="15">
        <v>25</v>
      </c>
      <c r="E1329" s="21">
        <v>0.25</v>
      </c>
      <c r="F1329" s="15" t="s">
        <v>18</v>
      </c>
      <c r="G1329" s="15" t="s">
        <v>17</v>
      </c>
      <c r="H1329" s="17">
        <v>46630</v>
      </c>
      <c r="I1329" s="17"/>
      <c r="J1329" s="18"/>
      <c r="K1329" t="str">
        <f t="shared" si="20"/>
        <v>DE16-SDR7,4</v>
      </c>
      <c r="L1329">
        <f>VLOOKUP(K1329,'[1]Tarif - Evolution Marché'!$F:$L,7,0)</f>
        <v>0.24888081223628686</v>
      </c>
    </row>
    <row r="1330" spans="1:12" x14ac:dyDescent="0.3">
      <c r="A1330" s="8" t="s">
        <v>23</v>
      </c>
      <c r="B1330" s="11">
        <v>20</v>
      </c>
      <c r="C1330" s="11" t="s">
        <v>11</v>
      </c>
      <c r="D1330" s="11">
        <v>25</v>
      </c>
      <c r="E1330" s="21">
        <v>0.4</v>
      </c>
      <c r="F1330" s="11" t="s">
        <v>18</v>
      </c>
      <c r="G1330" s="11" t="s">
        <v>17</v>
      </c>
      <c r="H1330" s="12">
        <v>46630</v>
      </c>
      <c r="I1330" s="12"/>
      <c r="J1330" s="13"/>
      <c r="K1330" t="str">
        <f t="shared" si="20"/>
        <v>DE20-SDR7,4</v>
      </c>
      <c r="L1330">
        <f>VLOOKUP(K1330,'[1]Tarif - Evolution Marché'!$F:$L,7,0)</f>
        <v>0.39627624472573836</v>
      </c>
    </row>
    <row r="1331" spans="1:12" x14ac:dyDescent="0.3">
      <c r="A1331" s="14" t="s">
        <v>23</v>
      </c>
      <c r="B1331" s="15">
        <v>25</v>
      </c>
      <c r="C1331" s="15" t="s">
        <v>11</v>
      </c>
      <c r="D1331" s="15">
        <v>25</v>
      </c>
      <c r="E1331" s="21">
        <v>0.59</v>
      </c>
      <c r="F1331" s="15" t="s">
        <v>18</v>
      </c>
      <c r="G1331" s="15" t="s">
        <v>17</v>
      </c>
      <c r="H1331" s="17">
        <v>46630</v>
      </c>
      <c r="I1331" s="17"/>
      <c r="J1331" s="18"/>
      <c r="K1331" t="str">
        <f t="shared" si="20"/>
        <v>DE25-SDR7,4</v>
      </c>
      <c r="L1331">
        <f>VLOOKUP(K1331,'[1]Tarif - Evolution Marché'!$F:$L,7,0)</f>
        <v>0.58716541139240497</v>
      </c>
    </row>
    <row r="1332" spans="1:12" x14ac:dyDescent="0.3">
      <c r="A1332" s="8" t="s">
        <v>23</v>
      </c>
      <c r="B1332" s="11">
        <v>32</v>
      </c>
      <c r="C1332" s="11" t="s">
        <v>11</v>
      </c>
      <c r="D1332" s="11">
        <v>25</v>
      </c>
      <c r="E1332" s="21">
        <v>0.94</v>
      </c>
      <c r="F1332" s="11" t="s">
        <v>18</v>
      </c>
      <c r="G1332" s="11" t="s">
        <v>17</v>
      </c>
      <c r="H1332" s="12">
        <v>46630</v>
      </c>
      <c r="I1332" s="12"/>
      <c r="J1332" s="13"/>
      <c r="K1332" t="str">
        <f t="shared" si="20"/>
        <v>DE32-SDR7,4</v>
      </c>
      <c r="L1332">
        <f>VLOOKUP(K1332,'[1]Tarif - Evolution Marché'!$F:$L,7,0)</f>
        <v>0.94236424050632894</v>
      </c>
    </row>
    <row r="1333" spans="1:12" x14ac:dyDescent="0.3">
      <c r="A1333" s="14" t="s">
        <v>23</v>
      </c>
      <c r="B1333" s="15">
        <v>40</v>
      </c>
      <c r="C1333" s="15" t="s">
        <v>11</v>
      </c>
      <c r="D1333" s="15">
        <v>25</v>
      </c>
      <c r="E1333" s="21">
        <v>1.47</v>
      </c>
      <c r="F1333" s="15" t="s">
        <v>18</v>
      </c>
      <c r="G1333" s="15" t="s">
        <v>17</v>
      </c>
      <c r="H1333" s="17">
        <v>46630</v>
      </c>
      <c r="I1333" s="17"/>
      <c r="J1333" s="18"/>
      <c r="K1333" t="str">
        <f t="shared" si="20"/>
        <v>DE40-SDR7,4</v>
      </c>
      <c r="L1333">
        <f>VLOOKUP(K1333,'[1]Tarif - Evolution Marché'!$F:$L,7,0)</f>
        <v>1.4667053691983118</v>
      </c>
    </row>
    <row r="1334" spans="1:12" x14ac:dyDescent="0.3">
      <c r="A1334" s="8" t="s">
        <v>23</v>
      </c>
      <c r="B1334" s="11">
        <v>50</v>
      </c>
      <c r="C1334" s="11" t="s">
        <v>11</v>
      </c>
      <c r="D1334" s="11">
        <v>25</v>
      </c>
      <c r="E1334" s="21">
        <v>2.2799999999999998</v>
      </c>
      <c r="F1334" s="11" t="s">
        <v>18</v>
      </c>
      <c r="G1334" s="11" t="s">
        <v>17</v>
      </c>
      <c r="H1334" s="12">
        <v>46630</v>
      </c>
      <c r="I1334" s="12"/>
      <c r="J1334" s="13"/>
      <c r="K1334" t="str">
        <f t="shared" si="20"/>
        <v>DE50-SDR7,4</v>
      </c>
      <c r="L1334">
        <f>VLOOKUP(K1334,'[1]Tarif - Evolution Marché'!$F:$L,7,0)</f>
        <v>2.2834210443037968</v>
      </c>
    </row>
    <row r="1335" spans="1:12" x14ac:dyDescent="0.3">
      <c r="A1335" s="14" t="s">
        <v>23</v>
      </c>
      <c r="B1335" s="15">
        <v>63</v>
      </c>
      <c r="C1335" s="15" t="s">
        <v>11</v>
      </c>
      <c r="D1335" s="15">
        <v>25</v>
      </c>
      <c r="E1335" s="21">
        <v>3.6</v>
      </c>
      <c r="F1335" s="15" t="s">
        <v>18</v>
      </c>
      <c r="G1335" s="15" t="s">
        <v>17</v>
      </c>
      <c r="H1335" s="17">
        <v>46630</v>
      </c>
      <c r="I1335" s="17"/>
      <c r="J1335" s="18"/>
      <c r="K1335" t="str">
        <f t="shared" si="20"/>
        <v>DE63-SDR7,4</v>
      </c>
      <c r="L1335">
        <f>VLOOKUP(K1335,'[1]Tarif - Evolution Marché'!$F:$L,7,0)</f>
        <v>3.6003146624472566</v>
      </c>
    </row>
    <row r="1336" spans="1:12" x14ac:dyDescent="0.3">
      <c r="A1336" s="8" t="s">
        <v>23</v>
      </c>
      <c r="B1336" s="11">
        <v>75</v>
      </c>
      <c r="C1336" s="11" t="s">
        <v>11</v>
      </c>
      <c r="D1336" s="11">
        <v>25</v>
      </c>
      <c r="E1336" s="21">
        <v>5.12</v>
      </c>
      <c r="F1336" s="11" t="s">
        <v>18</v>
      </c>
      <c r="G1336" s="11" t="s">
        <v>17</v>
      </c>
      <c r="H1336" s="12">
        <v>46630</v>
      </c>
      <c r="I1336" s="12"/>
      <c r="J1336" s="13"/>
      <c r="K1336" t="str">
        <f t="shared" si="20"/>
        <v>DE75-SDR7,4</v>
      </c>
      <c r="L1336">
        <f>VLOOKUP(K1336,'[1]Tarif - Evolution Marché'!$F:$L,7,0)</f>
        <v>5.1225953586497885</v>
      </c>
    </row>
    <row r="1337" spans="1:12" x14ac:dyDescent="0.3">
      <c r="A1337" s="14" t="s">
        <v>23</v>
      </c>
      <c r="B1337" s="15">
        <v>90</v>
      </c>
      <c r="C1337" s="15" t="s">
        <v>11</v>
      </c>
      <c r="D1337" s="15">
        <v>25</v>
      </c>
      <c r="E1337" s="21">
        <v>7.32</v>
      </c>
      <c r="F1337" s="15" t="s">
        <v>18</v>
      </c>
      <c r="G1337" s="15" t="s">
        <v>17</v>
      </c>
      <c r="H1337" s="17">
        <v>46630</v>
      </c>
      <c r="I1337" s="17"/>
      <c r="J1337" s="18"/>
      <c r="K1337" t="str">
        <f t="shared" si="20"/>
        <v>DE90-SDR7,4</v>
      </c>
      <c r="L1337">
        <f>VLOOKUP(K1337,'[1]Tarif - Evolution Marché'!$F:$L,7,0)</f>
        <v>7.3214452531645549</v>
      </c>
    </row>
    <row r="1338" spans="1:12" x14ac:dyDescent="0.3">
      <c r="A1338" s="8" t="s">
        <v>23</v>
      </c>
      <c r="B1338" s="11">
        <v>110</v>
      </c>
      <c r="C1338" s="11" t="s">
        <v>11</v>
      </c>
      <c r="D1338" s="11">
        <v>25</v>
      </c>
      <c r="E1338" s="21">
        <v>10.97</v>
      </c>
      <c r="F1338" s="11" t="s">
        <v>18</v>
      </c>
      <c r="G1338" s="11" t="s">
        <v>17</v>
      </c>
      <c r="H1338" s="12">
        <v>46630</v>
      </c>
      <c r="I1338" s="12"/>
      <c r="J1338" s="13"/>
      <c r="K1338" t="str">
        <f t="shared" si="20"/>
        <v>DE110-SDR7,4</v>
      </c>
      <c r="L1338">
        <f>VLOOKUP(K1338,'[1]Tarif - Evolution Marché'!$F:$L,7,0)</f>
        <v>10.970086286919829</v>
      </c>
    </row>
    <row r="1339" spans="1:12" x14ac:dyDescent="0.3">
      <c r="A1339" s="14" t="s">
        <v>23</v>
      </c>
      <c r="B1339" s="15">
        <v>125</v>
      </c>
      <c r="C1339" s="15" t="s">
        <v>11</v>
      </c>
      <c r="D1339" s="15">
        <v>25</v>
      </c>
      <c r="E1339" s="21">
        <v>14.11</v>
      </c>
      <c r="F1339" s="15" t="s">
        <v>18</v>
      </c>
      <c r="G1339" s="15" t="s">
        <v>17</v>
      </c>
      <c r="H1339" s="17">
        <v>46630</v>
      </c>
      <c r="I1339" s="15">
        <v>2400</v>
      </c>
      <c r="J1339" s="18">
        <v>2800</v>
      </c>
      <c r="K1339" t="str">
        <f t="shared" si="20"/>
        <v>DE125-SDR7,4</v>
      </c>
      <c r="L1339">
        <f>VLOOKUP(K1339,'[1]Tarif - Evolution Marché'!$F:$L,7,0)</f>
        <v>14.111300421940925</v>
      </c>
    </row>
    <row r="1340" spans="1:12" x14ac:dyDescent="0.3">
      <c r="A1340" s="8" t="s">
        <v>23</v>
      </c>
      <c r="B1340" s="11">
        <v>140</v>
      </c>
      <c r="C1340" s="11" t="s">
        <v>11</v>
      </c>
      <c r="D1340" s="11">
        <v>25</v>
      </c>
      <c r="E1340" s="21">
        <v>17.71</v>
      </c>
      <c r="F1340" s="11" t="s">
        <v>18</v>
      </c>
      <c r="G1340" s="11" t="s">
        <v>17</v>
      </c>
      <c r="H1340" s="12">
        <v>46630</v>
      </c>
      <c r="I1340" s="11">
        <v>1920</v>
      </c>
      <c r="J1340" s="13">
        <v>2240</v>
      </c>
      <c r="K1340" t="str">
        <f t="shared" si="20"/>
        <v>DE140-SDR7,4</v>
      </c>
      <c r="L1340">
        <f>VLOOKUP(K1340,'[1]Tarif - Evolution Marché'!$F:$L,7,0)</f>
        <v>17.711615084388182</v>
      </c>
    </row>
    <row r="1341" spans="1:12" x14ac:dyDescent="0.3">
      <c r="A1341" s="14" t="s">
        <v>23</v>
      </c>
      <c r="B1341" s="15">
        <v>160</v>
      </c>
      <c r="C1341" s="15" t="s">
        <v>11</v>
      </c>
      <c r="D1341" s="15">
        <v>25</v>
      </c>
      <c r="E1341" s="21">
        <v>23.05</v>
      </c>
      <c r="F1341" s="15" t="s">
        <v>18</v>
      </c>
      <c r="G1341" s="15" t="s">
        <v>17</v>
      </c>
      <c r="H1341" s="17">
        <v>46630</v>
      </c>
      <c r="I1341" s="15">
        <v>1920</v>
      </c>
      <c r="J1341" s="18">
        <v>2240</v>
      </c>
      <c r="K1341" t="str">
        <f t="shared" si="20"/>
        <v>DE160-SDR7,4</v>
      </c>
      <c r="L1341">
        <f>VLOOKUP(K1341,'[1]Tarif - Evolution Marché'!$F:$L,7,0)</f>
        <v>23.051679113924045</v>
      </c>
    </row>
    <row r="1342" spans="1:12" x14ac:dyDescent="0.3">
      <c r="A1342" s="8" t="s">
        <v>23</v>
      </c>
      <c r="B1342" s="11">
        <v>180</v>
      </c>
      <c r="C1342" s="11" t="s">
        <v>11</v>
      </c>
      <c r="D1342" s="11">
        <v>25</v>
      </c>
      <c r="E1342" s="21">
        <v>29.24</v>
      </c>
      <c r="F1342" s="11" t="s">
        <v>18</v>
      </c>
      <c r="G1342" s="11" t="s">
        <v>17</v>
      </c>
      <c r="H1342" s="12">
        <v>46630</v>
      </c>
      <c r="I1342" s="11">
        <v>1200</v>
      </c>
      <c r="J1342" s="13">
        <v>1400</v>
      </c>
      <c r="K1342" t="str">
        <f t="shared" si="20"/>
        <v>DE180-SDR7,4</v>
      </c>
      <c r="L1342">
        <f>VLOOKUP(K1342,'[1]Tarif - Evolution Marché'!$F:$L,7,0)</f>
        <v>29.237454641350205</v>
      </c>
    </row>
    <row r="1343" spans="1:12" x14ac:dyDescent="0.3">
      <c r="A1343" s="14" t="s">
        <v>23</v>
      </c>
      <c r="B1343" s="15">
        <v>200</v>
      </c>
      <c r="C1343" s="15" t="s">
        <v>11</v>
      </c>
      <c r="D1343" s="15">
        <v>25</v>
      </c>
      <c r="E1343" s="21">
        <v>36</v>
      </c>
      <c r="F1343" s="15" t="s">
        <v>18</v>
      </c>
      <c r="G1343" s="15" t="s">
        <v>17</v>
      </c>
      <c r="H1343" s="17">
        <v>46630</v>
      </c>
      <c r="I1343" s="15">
        <v>960</v>
      </c>
      <c r="J1343" s="18">
        <v>1120</v>
      </c>
      <c r="K1343" t="str">
        <f t="shared" si="20"/>
        <v>DE200-SDR7,4</v>
      </c>
      <c r="L1343">
        <f>VLOOKUP(K1343,'[1]Tarif - Evolution Marché'!$F:$L,7,0)</f>
        <v>36.003146624472571</v>
      </c>
    </row>
    <row r="1344" spans="1:12" x14ac:dyDescent="0.3">
      <c r="A1344" s="8" t="s">
        <v>23</v>
      </c>
      <c r="B1344" s="11">
        <v>225</v>
      </c>
      <c r="C1344" s="11" t="s">
        <v>11</v>
      </c>
      <c r="D1344" s="11">
        <v>25</v>
      </c>
      <c r="E1344" s="21">
        <v>45.43</v>
      </c>
      <c r="F1344" s="11" t="s">
        <v>18</v>
      </c>
      <c r="G1344" s="11" t="s">
        <v>17</v>
      </c>
      <c r="H1344" s="12">
        <v>46630</v>
      </c>
      <c r="I1344" s="11">
        <v>960</v>
      </c>
      <c r="J1344" s="13">
        <v>1120</v>
      </c>
      <c r="K1344" t="str">
        <f t="shared" si="20"/>
        <v>DE225-SDR7,4</v>
      </c>
      <c r="L1344">
        <f>VLOOKUP(K1344,'[1]Tarif - Evolution Marché'!$F:$L,7,0)</f>
        <v>45.426789029535861</v>
      </c>
    </row>
    <row r="1345" spans="1:12" x14ac:dyDescent="0.3">
      <c r="A1345" s="14" t="s">
        <v>23</v>
      </c>
      <c r="B1345" s="15">
        <v>250</v>
      </c>
      <c r="C1345" s="15" t="s">
        <v>11</v>
      </c>
      <c r="D1345" s="15">
        <v>25</v>
      </c>
      <c r="E1345" s="21">
        <v>56.3</v>
      </c>
      <c r="F1345" s="15" t="s">
        <v>18</v>
      </c>
      <c r="G1345" s="15" t="s">
        <v>17</v>
      </c>
      <c r="H1345" s="17">
        <v>46630</v>
      </c>
      <c r="I1345" s="15">
        <v>672</v>
      </c>
      <c r="J1345" s="18">
        <v>784</v>
      </c>
      <c r="K1345" t="str">
        <f t="shared" si="20"/>
        <v>DE250-SDR7,4</v>
      </c>
      <c r="L1345">
        <f>VLOOKUP(K1345,'[1]Tarif - Evolution Marché'!$F:$L,7,0)</f>
        <v>56.300222573839655</v>
      </c>
    </row>
    <row r="1346" spans="1:12" x14ac:dyDescent="0.3">
      <c r="A1346" s="8" t="s">
        <v>23</v>
      </c>
      <c r="B1346" s="11">
        <v>280</v>
      </c>
      <c r="C1346" s="11" t="s">
        <v>11</v>
      </c>
      <c r="D1346" s="11">
        <v>25</v>
      </c>
      <c r="E1346" s="21">
        <v>70.56</v>
      </c>
      <c r="F1346" s="11" t="s">
        <v>18</v>
      </c>
      <c r="G1346" s="11" t="s">
        <v>17</v>
      </c>
      <c r="H1346" s="12">
        <v>46630</v>
      </c>
      <c r="I1346" s="11">
        <v>672</v>
      </c>
      <c r="J1346" s="13">
        <v>784</v>
      </c>
      <c r="K1346" t="str">
        <f t="shared" si="20"/>
        <v>DE280-SDR7,4</v>
      </c>
      <c r="L1346">
        <f>VLOOKUP(K1346,'[1]Tarif - Evolution Marché'!$F:$L,7,0)</f>
        <v>70.556502109704624</v>
      </c>
    </row>
    <row r="1347" spans="1:12" x14ac:dyDescent="0.3">
      <c r="A1347" s="14" t="s">
        <v>23</v>
      </c>
      <c r="B1347" s="15">
        <v>315</v>
      </c>
      <c r="C1347" s="15" t="s">
        <v>11</v>
      </c>
      <c r="D1347" s="15">
        <v>25</v>
      </c>
      <c r="E1347" s="21">
        <v>89.16</v>
      </c>
      <c r="F1347" s="15" t="s">
        <v>18</v>
      </c>
      <c r="G1347" s="15" t="s">
        <v>17</v>
      </c>
      <c r="H1347" s="17">
        <v>46630</v>
      </c>
      <c r="I1347" s="15">
        <v>432</v>
      </c>
      <c r="J1347" s="18">
        <v>504</v>
      </c>
      <c r="K1347" t="str">
        <f t="shared" ref="K1347:K1410" si="21">CONCATENATE("DE",B1347,"-",C1347)</f>
        <v>DE315-SDR7,4</v>
      </c>
      <c r="L1347">
        <f>VLOOKUP(K1347,'[1]Tarif - Evolution Marché'!$F:$L,7,0)</f>
        <v>89.162155063291124</v>
      </c>
    </row>
    <row r="1348" spans="1:12" x14ac:dyDescent="0.3">
      <c r="A1348" s="8" t="s">
        <v>23</v>
      </c>
      <c r="B1348" s="11">
        <v>355</v>
      </c>
      <c r="C1348" s="11" t="s">
        <v>11</v>
      </c>
      <c r="D1348" s="11">
        <v>25</v>
      </c>
      <c r="E1348" s="21">
        <v>113.08</v>
      </c>
      <c r="F1348" s="11" t="s">
        <v>18</v>
      </c>
      <c r="G1348" s="11" t="s">
        <v>17</v>
      </c>
      <c r="H1348" s="12">
        <v>46630</v>
      </c>
      <c r="I1348" s="11">
        <v>360</v>
      </c>
      <c r="J1348" s="13">
        <v>420</v>
      </c>
      <c r="K1348" t="str">
        <f t="shared" si="21"/>
        <v>DE355-SDR7,4</v>
      </c>
      <c r="L1348">
        <f>VLOOKUP(K1348,'[1]Tarif - Evolution Marché'!$F:$L,7,0)</f>
        <v>113.08370886075947</v>
      </c>
    </row>
    <row r="1349" spans="1:12" x14ac:dyDescent="0.3">
      <c r="A1349" s="14" t="s">
        <v>23</v>
      </c>
      <c r="B1349" s="15">
        <v>400</v>
      </c>
      <c r="C1349" s="15" t="s">
        <v>11</v>
      </c>
      <c r="D1349" s="15">
        <v>25</v>
      </c>
      <c r="E1349" s="21">
        <v>143.53</v>
      </c>
      <c r="F1349" s="15" t="s">
        <v>18</v>
      </c>
      <c r="G1349" s="15" t="s">
        <v>17</v>
      </c>
      <c r="H1349" s="17">
        <v>46630</v>
      </c>
      <c r="I1349" s="15">
        <v>360</v>
      </c>
      <c r="J1349" s="18">
        <v>420</v>
      </c>
      <c r="K1349" t="str">
        <f t="shared" si="21"/>
        <v>DE400-SDR7,4</v>
      </c>
      <c r="L1349">
        <f>VLOOKUP(K1349,'[1]Tarif - Evolution Marché'!$F:$L,7,0)</f>
        <v>143.52932278481009</v>
      </c>
    </row>
    <row r="1350" spans="1:12" x14ac:dyDescent="0.3">
      <c r="A1350" s="8" t="s">
        <v>23</v>
      </c>
      <c r="B1350" s="11">
        <v>450</v>
      </c>
      <c r="C1350" s="11" t="s">
        <v>11</v>
      </c>
      <c r="D1350" s="11">
        <v>25</v>
      </c>
      <c r="E1350" s="21">
        <v>181.71</v>
      </c>
      <c r="F1350" s="11" t="s">
        <v>18</v>
      </c>
      <c r="G1350" s="11" t="s">
        <v>17</v>
      </c>
      <c r="H1350" s="12">
        <v>46630</v>
      </c>
      <c r="I1350" s="11">
        <v>192</v>
      </c>
      <c r="J1350" s="13">
        <v>224</v>
      </c>
      <c r="K1350" t="str">
        <f t="shared" si="21"/>
        <v>DE450-SDR7,4</v>
      </c>
      <c r="L1350">
        <f>VLOOKUP(K1350,'[1]Tarif - Evolution Marché'!$F:$L,7,0)</f>
        <v>181.70715611814344</v>
      </c>
    </row>
    <row r="1351" spans="1:12" x14ac:dyDescent="0.3">
      <c r="A1351" s="14" t="s">
        <v>23</v>
      </c>
      <c r="B1351" s="15">
        <v>500</v>
      </c>
      <c r="C1351" s="15" t="s">
        <v>11</v>
      </c>
      <c r="D1351" s="15">
        <v>25</v>
      </c>
      <c r="E1351" s="21">
        <v>224.23</v>
      </c>
      <c r="F1351" s="15" t="s">
        <v>18</v>
      </c>
      <c r="G1351" s="15" t="s">
        <v>17</v>
      </c>
      <c r="H1351" s="17">
        <v>46630</v>
      </c>
      <c r="I1351" s="15">
        <v>192</v>
      </c>
      <c r="J1351" s="18">
        <v>224</v>
      </c>
      <c r="K1351" t="str">
        <f t="shared" si="21"/>
        <v>DE500-SDR7,4</v>
      </c>
      <c r="L1351">
        <f>VLOOKUP(K1351,'[1]Tarif - Evolution Marché'!$F:$L,7,0)</f>
        <v>224.23436286919826</v>
      </c>
    </row>
    <row r="1352" spans="1:12" x14ac:dyDescent="0.3">
      <c r="A1352" s="8" t="s">
        <v>21</v>
      </c>
      <c r="B1352" s="11">
        <v>63</v>
      </c>
      <c r="C1352" s="11" t="s">
        <v>3</v>
      </c>
      <c r="D1352" s="11">
        <v>4</v>
      </c>
      <c r="E1352" s="22">
        <v>0.89</v>
      </c>
      <c r="F1352" s="11" t="s">
        <v>18</v>
      </c>
      <c r="G1352" s="11" t="s">
        <v>15</v>
      </c>
      <c r="H1352" s="12">
        <v>46630</v>
      </c>
      <c r="I1352" s="12"/>
      <c r="J1352" s="13"/>
      <c r="K1352" t="str">
        <f t="shared" si="21"/>
        <v>DE63-SDR41</v>
      </c>
      <c r="L1352" s="1">
        <f>VLOOKUP(K1352,'[1]Tarif - Evolution Marché'!$F:$M,8,0)</f>
        <v>0.88920523206751034</v>
      </c>
    </row>
    <row r="1353" spans="1:12" x14ac:dyDescent="0.3">
      <c r="A1353" s="14" t="s">
        <v>21</v>
      </c>
      <c r="B1353" s="15">
        <v>75</v>
      </c>
      <c r="C1353" s="15" t="s">
        <v>3</v>
      </c>
      <c r="D1353" s="15">
        <v>4</v>
      </c>
      <c r="E1353" s="22">
        <v>1.1200000000000001</v>
      </c>
      <c r="F1353" s="15" t="s">
        <v>18</v>
      </c>
      <c r="G1353" s="15" t="s">
        <v>15</v>
      </c>
      <c r="H1353" s="17">
        <v>46630</v>
      </c>
      <c r="I1353" s="17"/>
      <c r="J1353" s="18"/>
      <c r="K1353" t="str">
        <f t="shared" si="21"/>
        <v>DE75-SDR41</v>
      </c>
      <c r="L1353" s="1">
        <f>VLOOKUP(K1353,'[1]Tarif - Evolution Marché'!$F:$M,8,0)</f>
        <v>1.1163391772151898</v>
      </c>
    </row>
    <row r="1354" spans="1:12" x14ac:dyDescent="0.3">
      <c r="A1354" s="8" t="s">
        <v>21</v>
      </c>
      <c r="B1354" s="11">
        <v>90</v>
      </c>
      <c r="C1354" s="11" t="s">
        <v>3</v>
      </c>
      <c r="D1354" s="11">
        <v>4</v>
      </c>
      <c r="E1354" s="22">
        <v>1.56</v>
      </c>
      <c r="F1354" s="11" t="s">
        <v>18</v>
      </c>
      <c r="G1354" s="11" t="s">
        <v>15</v>
      </c>
      <c r="H1354" s="12">
        <v>46630</v>
      </c>
      <c r="I1354" s="12"/>
      <c r="J1354" s="13"/>
      <c r="K1354" t="str">
        <f t="shared" si="21"/>
        <v>DE90-SDR41</v>
      </c>
      <c r="L1354" s="1">
        <f>VLOOKUP(K1354,'[1]Tarif - Evolution Marché'!$F:$M,8,0)</f>
        <v>1.5633581118143458</v>
      </c>
    </row>
    <row r="1355" spans="1:12" x14ac:dyDescent="0.3">
      <c r="A1355" s="14" t="s">
        <v>21</v>
      </c>
      <c r="B1355" s="15">
        <v>110</v>
      </c>
      <c r="C1355" s="15" t="s">
        <v>3</v>
      </c>
      <c r="D1355" s="15">
        <v>4</v>
      </c>
      <c r="E1355" s="22">
        <v>2.2999999999999998</v>
      </c>
      <c r="F1355" s="15" t="s">
        <v>18</v>
      </c>
      <c r="G1355" s="15" t="s">
        <v>15</v>
      </c>
      <c r="H1355" s="17">
        <v>46630</v>
      </c>
      <c r="I1355" s="17"/>
      <c r="J1355" s="18"/>
      <c r="K1355" t="str">
        <f t="shared" si="21"/>
        <v>DE110-SDR41</v>
      </c>
      <c r="L1355" s="1">
        <f>VLOOKUP(K1355,'[1]Tarif - Evolution Marché'!$F:$M,8,0)</f>
        <v>2.3003352742616028</v>
      </c>
    </row>
    <row r="1356" spans="1:12" x14ac:dyDescent="0.3">
      <c r="A1356" s="8" t="s">
        <v>21</v>
      </c>
      <c r="B1356" s="11">
        <v>125</v>
      </c>
      <c r="C1356" s="11" t="s">
        <v>3</v>
      </c>
      <c r="D1356" s="11">
        <v>4</v>
      </c>
      <c r="E1356" s="22">
        <v>3.02</v>
      </c>
      <c r="F1356" s="11" t="s">
        <v>18</v>
      </c>
      <c r="G1356" s="11" t="s">
        <v>15</v>
      </c>
      <c r="H1356" s="12">
        <v>46630</v>
      </c>
      <c r="I1356" s="12"/>
      <c r="J1356" s="13"/>
      <c r="K1356" t="str">
        <f t="shared" si="21"/>
        <v>DE125-SDR41</v>
      </c>
      <c r="L1356" s="1">
        <f>VLOOKUP(K1356,'[1]Tarif - Evolution Marché'!$F:$M,8,0)</f>
        <v>3.0203982067510542</v>
      </c>
    </row>
    <row r="1357" spans="1:12" x14ac:dyDescent="0.3">
      <c r="A1357" s="14" t="s">
        <v>21</v>
      </c>
      <c r="B1357" s="15">
        <v>140</v>
      </c>
      <c r="C1357" s="15" t="s">
        <v>3</v>
      </c>
      <c r="D1357" s="15">
        <v>4</v>
      </c>
      <c r="E1357" s="22">
        <v>3.77</v>
      </c>
      <c r="F1357" s="15" t="s">
        <v>18</v>
      </c>
      <c r="G1357" s="15" t="s">
        <v>15</v>
      </c>
      <c r="H1357" s="17">
        <v>46630</v>
      </c>
      <c r="I1357" s="17"/>
      <c r="J1357" s="18"/>
      <c r="K1357" t="str">
        <f t="shared" si="21"/>
        <v>DE140-SDR41</v>
      </c>
      <c r="L1357" s="1">
        <f>VLOOKUP(K1357,'[1]Tarif - Evolution Marché'!$F:$M,8,0)</f>
        <v>3.7694569620253158</v>
      </c>
    </row>
    <row r="1358" spans="1:12" x14ac:dyDescent="0.3">
      <c r="A1358" s="8" t="s">
        <v>21</v>
      </c>
      <c r="B1358" s="11">
        <v>160</v>
      </c>
      <c r="C1358" s="11" t="s">
        <v>3</v>
      </c>
      <c r="D1358" s="11">
        <v>4</v>
      </c>
      <c r="E1358" s="22">
        <v>4.88</v>
      </c>
      <c r="F1358" s="11" t="s">
        <v>18</v>
      </c>
      <c r="G1358" s="11" t="s">
        <v>15</v>
      </c>
      <c r="H1358" s="12">
        <v>46630</v>
      </c>
      <c r="I1358" s="12"/>
      <c r="J1358" s="13"/>
      <c r="K1358" t="str">
        <f t="shared" si="21"/>
        <v>DE160-SDR41</v>
      </c>
      <c r="L1358" s="1">
        <f>VLOOKUP(K1358,'[1]Tarif - Evolution Marché'!$F:$M,8,0)</f>
        <v>4.8809635021097035</v>
      </c>
    </row>
    <row r="1359" spans="1:12" x14ac:dyDescent="0.3">
      <c r="A1359" s="14" t="s">
        <v>21</v>
      </c>
      <c r="B1359" s="15">
        <v>180</v>
      </c>
      <c r="C1359" s="15" t="s">
        <v>3</v>
      </c>
      <c r="D1359" s="15">
        <v>4</v>
      </c>
      <c r="E1359" s="22">
        <v>6.06</v>
      </c>
      <c r="F1359" s="15" t="s">
        <v>18</v>
      </c>
      <c r="G1359" s="15" t="s">
        <v>15</v>
      </c>
      <c r="H1359" s="17">
        <v>46630</v>
      </c>
      <c r="I1359" s="17"/>
      <c r="J1359" s="18"/>
      <c r="K1359" t="str">
        <f t="shared" si="21"/>
        <v>DE180-SDR41</v>
      </c>
      <c r="L1359" s="1">
        <f>VLOOKUP(K1359,'[1]Tarif - Evolution Marché'!$F:$M,8,0)</f>
        <v>6.0649595991561167</v>
      </c>
    </row>
    <row r="1360" spans="1:12" x14ac:dyDescent="0.3">
      <c r="A1360" s="8" t="s">
        <v>21</v>
      </c>
      <c r="B1360" s="11">
        <v>200</v>
      </c>
      <c r="C1360" s="11" t="s">
        <v>3</v>
      </c>
      <c r="D1360" s="11">
        <v>4</v>
      </c>
      <c r="E1360" s="22">
        <v>7.44</v>
      </c>
      <c r="F1360" s="11" t="s">
        <v>18</v>
      </c>
      <c r="G1360" s="11" t="s">
        <v>15</v>
      </c>
      <c r="H1360" s="12">
        <v>46630</v>
      </c>
      <c r="I1360" s="12"/>
      <c r="J1360" s="13"/>
      <c r="K1360" t="str">
        <f t="shared" si="21"/>
        <v>DE200-SDR41</v>
      </c>
      <c r="L1360" s="1">
        <f>VLOOKUP(K1360,'[1]Tarif - Evolution Marché'!$F:$M,8,0)</f>
        <v>7.4422611814345982</v>
      </c>
    </row>
    <row r="1361" spans="1:12" x14ac:dyDescent="0.3">
      <c r="A1361" s="14" t="s">
        <v>21</v>
      </c>
      <c r="B1361" s="15">
        <v>225</v>
      </c>
      <c r="C1361" s="15" t="s">
        <v>3</v>
      </c>
      <c r="D1361" s="15">
        <v>4</v>
      </c>
      <c r="E1361" s="22">
        <v>9.42</v>
      </c>
      <c r="F1361" s="15" t="s">
        <v>18</v>
      </c>
      <c r="G1361" s="15" t="s">
        <v>15</v>
      </c>
      <c r="H1361" s="17">
        <v>46630</v>
      </c>
      <c r="I1361" s="17"/>
      <c r="J1361" s="18"/>
      <c r="K1361" t="str">
        <f t="shared" si="21"/>
        <v>DE225-SDR41</v>
      </c>
      <c r="L1361" s="1">
        <f>VLOOKUP(K1361,'[1]Tarif - Evolution Marché'!$F:$M,8,0)</f>
        <v>9.4236424050632888</v>
      </c>
    </row>
    <row r="1362" spans="1:12" x14ac:dyDescent="0.3">
      <c r="A1362" s="8" t="s">
        <v>21</v>
      </c>
      <c r="B1362" s="11">
        <v>250</v>
      </c>
      <c r="C1362" s="11" t="s">
        <v>3</v>
      </c>
      <c r="D1362" s="11">
        <v>4</v>
      </c>
      <c r="E1362" s="22">
        <v>11.79</v>
      </c>
      <c r="F1362" s="11" t="s">
        <v>18</v>
      </c>
      <c r="G1362" s="11" t="s">
        <v>15</v>
      </c>
      <c r="H1362" s="12">
        <v>46630</v>
      </c>
      <c r="I1362" s="12"/>
      <c r="J1362" s="13"/>
      <c r="K1362" t="str">
        <f t="shared" si="21"/>
        <v>DE250-SDR41</v>
      </c>
      <c r="L1362" s="1">
        <f>VLOOKUP(K1362,'[1]Tarif - Evolution Marché'!$F:$M,8,0)</f>
        <v>11.791634599156115</v>
      </c>
    </row>
    <row r="1363" spans="1:12" x14ac:dyDescent="0.3">
      <c r="A1363" s="14" t="s">
        <v>21</v>
      </c>
      <c r="B1363" s="15">
        <v>280</v>
      </c>
      <c r="C1363" s="15" t="s">
        <v>3</v>
      </c>
      <c r="D1363" s="15">
        <v>4</v>
      </c>
      <c r="E1363" s="22">
        <v>14.59</v>
      </c>
      <c r="F1363" s="15" t="s">
        <v>18</v>
      </c>
      <c r="G1363" s="15" t="s">
        <v>15</v>
      </c>
      <c r="H1363" s="17">
        <v>46630</v>
      </c>
      <c r="I1363" s="17"/>
      <c r="J1363" s="18"/>
      <c r="K1363" t="str">
        <f t="shared" si="21"/>
        <v>DE280-SDR41</v>
      </c>
      <c r="L1363" s="1">
        <f>VLOOKUP(K1363,'[1]Tarif - Evolution Marché'!$F:$M,8,0)</f>
        <v>14.594564135021095</v>
      </c>
    </row>
    <row r="1364" spans="1:12" x14ac:dyDescent="0.3">
      <c r="A1364" s="8" t="s">
        <v>21</v>
      </c>
      <c r="B1364" s="11">
        <v>315</v>
      </c>
      <c r="C1364" s="11" t="s">
        <v>3</v>
      </c>
      <c r="D1364" s="11">
        <v>4</v>
      </c>
      <c r="E1364" s="22">
        <v>18.34</v>
      </c>
      <c r="F1364" s="11" t="s">
        <v>18</v>
      </c>
      <c r="G1364" s="11" t="s">
        <v>15</v>
      </c>
      <c r="H1364" s="12">
        <v>46630</v>
      </c>
      <c r="I1364" s="12"/>
      <c r="J1364" s="13"/>
      <c r="K1364" t="str">
        <f t="shared" si="21"/>
        <v>DE315-SDR41</v>
      </c>
      <c r="L1364" s="1">
        <f>VLOOKUP(K1364,'[1]Tarif - Evolution Marché'!$F:$M,8,0)</f>
        <v>18.3398579113924</v>
      </c>
    </row>
    <row r="1365" spans="1:12" x14ac:dyDescent="0.3">
      <c r="A1365" s="14" t="s">
        <v>21</v>
      </c>
      <c r="B1365" s="15">
        <v>355</v>
      </c>
      <c r="C1365" s="15" t="s">
        <v>3</v>
      </c>
      <c r="D1365" s="15">
        <v>4</v>
      </c>
      <c r="E1365" s="22">
        <v>23.32</v>
      </c>
      <c r="F1365" s="15" t="s">
        <v>18</v>
      </c>
      <c r="G1365" s="15" t="s">
        <v>15</v>
      </c>
      <c r="H1365" s="17">
        <v>46630</v>
      </c>
      <c r="I1365" s="17"/>
      <c r="J1365" s="18"/>
      <c r="K1365" t="str">
        <f t="shared" si="21"/>
        <v>DE355-SDR41</v>
      </c>
      <c r="L1365" s="1">
        <f>VLOOKUP(K1365,'[1]Tarif - Evolution Marché'!$F:$M,8,0)</f>
        <v>23.317474156118141</v>
      </c>
    </row>
    <row r="1366" spans="1:12" x14ac:dyDescent="0.3">
      <c r="A1366" s="8" t="s">
        <v>21</v>
      </c>
      <c r="B1366" s="11">
        <v>400</v>
      </c>
      <c r="C1366" s="11" t="s">
        <v>3</v>
      </c>
      <c r="D1366" s="11">
        <v>4</v>
      </c>
      <c r="E1366" s="22">
        <v>29.48</v>
      </c>
      <c r="F1366" s="11" t="s">
        <v>18</v>
      </c>
      <c r="G1366" s="11" t="s">
        <v>15</v>
      </c>
      <c r="H1366" s="12">
        <v>46630</v>
      </c>
      <c r="I1366" s="12"/>
      <c r="J1366" s="13"/>
      <c r="K1366" t="str">
        <f t="shared" si="21"/>
        <v>DE400-SDR41</v>
      </c>
      <c r="L1366" s="1">
        <f>VLOOKUP(K1366,'[1]Tarif - Evolution Marché'!$F:$M,8,0)</f>
        <v>29.47908649789029</v>
      </c>
    </row>
    <row r="1367" spans="1:12" x14ac:dyDescent="0.3">
      <c r="A1367" s="14" t="s">
        <v>21</v>
      </c>
      <c r="B1367" s="15">
        <v>450</v>
      </c>
      <c r="C1367" s="15" t="s">
        <v>3</v>
      </c>
      <c r="D1367" s="15">
        <v>4</v>
      </c>
      <c r="E1367" s="22">
        <v>37.21</v>
      </c>
      <c r="F1367" s="15" t="s">
        <v>18</v>
      </c>
      <c r="G1367" s="15" t="s">
        <v>15</v>
      </c>
      <c r="H1367" s="17">
        <v>46630</v>
      </c>
      <c r="I1367" s="17"/>
      <c r="J1367" s="18"/>
      <c r="K1367" t="str">
        <f t="shared" si="21"/>
        <v>DE450-SDR41</v>
      </c>
      <c r="L1367" s="1">
        <f>VLOOKUP(K1367,'[1]Tarif - Evolution Marché'!$F:$M,8,0)</f>
        <v>37.211305907172992</v>
      </c>
    </row>
    <row r="1368" spans="1:12" x14ac:dyDescent="0.3">
      <c r="A1368" s="8" t="s">
        <v>21</v>
      </c>
      <c r="B1368" s="11">
        <v>500</v>
      </c>
      <c r="C1368" s="11" t="s">
        <v>3</v>
      </c>
      <c r="D1368" s="11">
        <v>4</v>
      </c>
      <c r="E1368" s="22">
        <v>46.39</v>
      </c>
      <c r="F1368" s="11" t="s">
        <v>18</v>
      </c>
      <c r="G1368" s="11" t="s">
        <v>15</v>
      </c>
      <c r="H1368" s="12">
        <v>46630</v>
      </c>
      <c r="I1368" s="12"/>
      <c r="J1368" s="13"/>
      <c r="K1368" t="str">
        <f t="shared" si="21"/>
        <v>DE500-SDR41</v>
      </c>
      <c r="L1368" s="1">
        <f>VLOOKUP(K1368,'[1]Tarif - Evolution Marché'!$F:$M,8,0)</f>
        <v>46.393316455696194</v>
      </c>
    </row>
    <row r="1369" spans="1:12" x14ac:dyDescent="0.3">
      <c r="A1369" s="14" t="s">
        <v>21</v>
      </c>
      <c r="B1369" s="15">
        <v>560</v>
      </c>
      <c r="C1369" s="15" t="s">
        <v>3</v>
      </c>
      <c r="D1369" s="15">
        <v>4</v>
      </c>
      <c r="E1369" s="22">
        <v>57.75</v>
      </c>
      <c r="F1369" s="15" t="s">
        <v>18</v>
      </c>
      <c r="G1369" s="15" t="s">
        <v>15</v>
      </c>
      <c r="H1369" s="17">
        <v>46630</v>
      </c>
      <c r="I1369" s="17"/>
      <c r="J1369" s="18"/>
      <c r="K1369" t="str">
        <f t="shared" si="21"/>
        <v>DE560-SDR41</v>
      </c>
      <c r="L1369" s="1">
        <f>VLOOKUP(K1369,'[1]Tarif - Evolution Marché'!$F:$M,8,0)</f>
        <v>57.750013713080158</v>
      </c>
    </row>
    <row r="1370" spans="1:12" x14ac:dyDescent="0.3">
      <c r="A1370" s="8" t="s">
        <v>21</v>
      </c>
      <c r="B1370" s="11">
        <v>630</v>
      </c>
      <c r="C1370" s="11" t="s">
        <v>3</v>
      </c>
      <c r="D1370" s="11">
        <v>4</v>
      </c>
      <c r="E1370" s="22">
        <v>72.97</v>
      </c>
      <c r="F1370" s="11" t="s">
        <v>18</v>
      </c>
      <c r="G1370" s="11" t="s">
        <v>15</v>
      </c>
      <c r="H1370" s="12">
        <v>46630</v>
      </c>
      <c r="I1370" s="12"/>
      <c r="J1370" s="13"/>
      <c r="K1370" t="str">
        <f t="shared" si="21"/>
        <v>DE630-SDR41</v>
      </c>
      <c r="L1370" s="1">
        <f>VLOOKUP(K1370,'[1]Tarif - Evolution Marché'!$F:$M,8,0)</f>
        <v>72.972820675105467</v>
      </c>
    </row>
    <row r="1371" spans="1:12" x14ac:dyDescent="0.3">
      <c r="A1371" s="14" t="s">
        <v>21</v>
      </c>
      <c r="B1371" s="15">
        <v>710</v>
      </c>
      <c r="C1371" s="15" t="s">
        <v>3</v>
      </c>
      <c r="D1371" s="15">
        <v>4</v>
      </c>
      <c r="E1371" s="22">
        <v>92.79</v>
      </c>
      <c r="F1371" s="15" t="s">
        <v>18</v>
      </c>
      <c r="G1371" s="15" t="s">
        <v>15</v>
      </c>
      <c r="H1371" s="17">
        <v>46630</v>
      </c>
      <c r="I1371" s="17"/>
      <c r="J1371" s="18"/>
      <c r="K1371" t="str">
        <f t="shared" si="21"/>
        <v>DE710-SDR41</v>
      </c>
      <c r="L1371" s="1">
        <f>VLOOKUP(K1371,'[1]Tarif - Evolution Marché'!$F:$M,8,0)</f>
        <v>92.786632911392388</v>
      </c>
    </row>
    <row r="1372" spans="1:12" x14ac:dyDescent="0.3">
      <c r="A1372" s="8" t="s">
        <v>21</v>
      </c>
      <c r="B1372" s="11">
        <v>800</v>
      </c>
      <c r="C1372" s="11" t="s">
        <v>3</v>
      </c>
      <c r="D1372" s="11">
        <v>4</v>
      </c>
      <c r="E1372" s="22">
        <v>117.67</v>
      </c>
      <c r="F1372" s="11" t="s">
        <v>18</v>
      </c>
      <c r="G1372" s="11" t="s">
        <v>15</v>
      </c>
      <c r="H1372" s="12">
        <v>46630</v>
      </c>
      <c r="I1372" s="12"/>
      <c r="J1372" s="13"/>
      <c r="K1372" t="str">
        <f t="shared" si="21"/>
        <v>DE800-SDR41</v>
      </c>
      <c r="L1372" s="1">
        <f>VLOOKUP(K1372,'[1]Tarif - Evolution Marché'!$F:$M,8,0)</f>
        <v>117.67471413502108</v>
      </c>
    </row>
    <row r="1373" spans="1:12" x14ac:dyDescent="0.3">
      <c r="A1373" s="14" t="s">
        <v>21</v>
      </c>
      <c r="B1373" s="15">
        <v>900</v>
      </c>
      <c r="C1373" s="15" t="s">
        <v>3</v>
      </c>
      <c r="D1373" s="15">
        <v>4</v>
      </c>
      <c r="E1373" s="22">
        <v>148.12</v>
      </c>
      <c r="F1373" s="15" t="s">
        <v>18</v>
      </c>
      <c r="G1373" s="15" t="s">
        <v>15</v>
      </c>
      <c r="H1373" s="17">
        <v>46630</v>
      </c>
      <c r="I1373" s="17"/>
      <c r="J1373" s="18"/>
      <c r="K1373" t="str">
        <f t="shared" si="21"/>
        <v>DE900-SDR41</v>
      </c>
      <c r="L1373" s="1">
        <f>VLOOKUP(K1373,'[1]Tarif - Evolution Marché'!$F:$M,8,0)</f>
        <v>148.12032805907171</v>
      </c>
    </row>
    <row r="1374" spans="1:12" x14ac:dyDescent="0.3">
      <c r="A1374" s="8" t="s">
        <v>21</v>
      </c>
      <c r="B1374" s="11">
        <v>1000</v>
      </c>
      <c r="C1374" s="11" t="s">
        <v>3</v>
      </c>
      <c r="D1374" s="11">
        <v>4</v>
      </c>
      <c r="E1374" s="22">
        <v>183.4</v>
      </c>
      <c r="F1374" s="11" t="s">
        <v>18</v>
      </c>
      <c r="G1374" s="11" t="s">
        <v>15</v>
      </c>
      <c r="H1374" s="12">
        <v>46630</v>
      </c>
      <c r="I1374" s="12"/>
      <c r="J1374" s="13"/>
      <c r="K1374" t="str">
        <f t="shared" si="21"/>
        <v>DE1000-SDR41</v>
      </c>
      <c r="L1374" s="1">
        <f>VLOOKUP(K1374,'[1]Tarif - Evolution Marché'!$F:$M,8,0)</f>
        <v>183.39857911392403</v>
      </c>
    </row>
    <row r="1375" spans="1:12" x14ac:dyDescent="0.3">
      <c r="A1375" s="14" t="s">
        <v>21</v>
      </c>
      <c r="B1375" s="15">
        <v>1200</v>
      </c>
      <c r="C1375" s="15" t="s">
        <v>3</v>
      </c>
      <c r="D1375" s="15">
        <v>4</v>
      </c>
      <c r="E1375" s="22">
        <v>263.38</v>
      </c>
      <c r="F1375" s="15" t="s">
        <v>18</v>
      </c>
      <c r="G1375" s="15" t="s">
        <v>15</v>
      </c>
      <c r="H1375" s="17">
        <v>46630</v>
      </c>
      <c r="I1375" s="17"/>
      <c r="J1375" s="18"/>
      <c r="K1375" t="str">
        <f t="shared" si="21"/>
        <v>DE1200-SDR41</v>
      </c>
      <c r="L1375" s="1">
        <f>VLOOKUP(K1375,'[1]Tarif - Evolution Marché'!$F:$M,8,0)</f>
        <v>263.37872362869194</v>
      </c>
    </row>
    <row r="1376" spans="1:12" x14ac:dyDescent="0.3">
      <c r="A1376" s="8" t="s">
        <v>21</v>
      </c>
      <c r="B1376" s="11">
        <v>50</v>
      </c>
      <c r="C1376" s="11" t="s">
        <v>4</v>
      </c>
      <c r="D1376" s="11">
        <v>5</v>
      </c>
      <c r="E1376" s="22">
        <v>0.7</v>
      </c>
      <c r="F1376" s="11" t="s">
        <v>18</v>
      </c>
      <c r="G1376" s="11" t="s">
        <v>15</v>
      </c>
      <c r="H1376" s="12">
        <v>46630</v>
      </c>
      <c r="I1376" s="12"/>
      <c r="J1376" s="13"/>
      <c r="K1376" t="str">
        <f t="shared" si="21"/>
        <v>DE50-SDR33</v>
      </c>
      <c r="L1376" s="1">
        <f>VLOOKUP(K1376,'[1]Tarif - Evolution Marché'!$F:$M,8,0)</f>
        <v>0.7007323839662446</v>
      </c>
    </row>
    <row r="1377" spans="1:12" x14ac:dyDescent="0.3">
      <c r="A1377" s="14" t="s">
        <v>21</v>
      </c>
      <c r="B1377" s="15">
        <v>63</v>
      </c>
      <c r="C1377" s="15" t="s">
        <v>4</v>
      </c>
      <c r="D1377" s="15">
        <v>5</v>
      </c>
      <c r="E1377" s="22">
        <v>0.97</v>
      </c>
      <c r="F1377" s="15" t="s">
        <v>18</v>
      </c>
      <c r="G1377" s="15" t="s">
        <v>15</v>
      </c>
      <c r="H1377" s="17">
        <v>46630</v>
      </c>
      <c r="I1377" s="17"/>
      <c r="J1377" s="18"/>
      <c r="K1377" t="str">
        <f t="shared" si="21"/>
        <v>DE63-SDR33</v>
      </c>
      <c r="L1377" s="1">
        <f>VLOOKUP(K1377,'[1]Tarif - Evolution Marché'!$F:$M,8,0)</f>
        <v>0.97377638185653992</v>
      </c>
    </row>
    <row r="1378" spans="1:12" x14ac:dyDescent="0.3">
      <c r="A1378" s="8" t="s">
        <v>21</v>
      </c>
      <c r="B1378" s="11">
        <v>75</v>
      </c>
      <c r="C1378" s="11" t="s">
        <v>4</v>
      </c>
      <c r="D1378" s="11">
        <v>5</v>
      </c>
      <c r="E1378" s="22">
        <v>1.35</v>
      </c>
      <c r="F1378" s="11" t="s">
        <v>18</v>
      </c>
      <c r="G1378" s="11" t="s">
        <v>15</v>
      </c>
      <c r="H1378" s="12">
        <v>46630</v>
      </c>
      <c r="I1378" s="12"/>
      <c r="J1378" s="13"/>
      <c r="K1378" t="str">
        <f t="shared" si="21"/>
        <v>DE75-SDR33</v>
      </c>
      <c r="L1378" s="1">
        <f>VLOOKUP(K1378,'[1]Tarif - Evolution Marché'!$F:$M,8,0)</f>
        <v>1.34588944092827</v>
      </c>
    </row>
    <row r="1379" spans="1:12" x14ac:dyDescent="0.3">
      <c r="A1379" s="14" t="s">
        <v>21</v>
      </c>
      <c r="B1379" s="15">
        <v>90</v>
      </c>
      <c r="C1379" s="15" t="s">
        <v>4</v>
      </c>
      <c r="D1379" s="15">
        <v>5</v>
      </c>
      <c r="E1379" s="22">
        <v>1.93</v>
      </c>
      <c r="F1379" s="15" t="s">
        <v>18</v>
      </c>
      <c r="G1379" s="15" t="s">
        <v>15</v>
      </c>
      <c r="H1379" s="17">
        <v>46630</v>
      </c>
      <c r="I1379" s="17"/>
      <c r="J1379" s="18"/>
      <c r="K1379" t="str">
        <f t="shared" si="21"/>
        <v>DE90-SDR33</v>
      </c>
      <c r="L1379" s="1">
        <f>VLOOKUP(K1379,'[1]Tarif - Evolution Marché'!$F:$M,8,0)</f>
        <v>1.9330548523206748</v>
      </c>
    </row>
    <row r="1380" spans="1:12" x14ac:dyDescent="0.3">
      <c r="A1380" s="8" t="s">
        <v>21</v>
      </c>
      <c r="B1380" s="11">
        <v>110</v>
      </c>
      <c r="C1380" s="11" t="s">
        <v>4</v>
      </c>
      <c r="D1380" s="11">
        <v>5</v>
      </c>
      <c r="E1380" s="22">
        <v>2.88</v>
      </c>
      <c r="F1380" s="11" t="s">
        <v>18</v>
      </c>
      <c r="G1380" s="11" t="s">
        <v>15</v>
      </c>
      <c r="H1380" s="12">
        <v>46630</v>
      </c>
      <c r="I1380" s="12"/>
      <c r="J1380" s="13"/>
      <c r="K1380" t="str">
        <f t="shared" si="21"/>
        <v>DE110-SDR33</v>
      </c>
      <c r="L1380" s="1">
        <f>VLOOKUP(K1380,'[1]Tarif - Evolution Marché'!$F:$M,8,0)</f>
        <v>2.8754190928270034</v>
      </c>
    </row>
    <row r="1381" spans="1:12" x14ac:dyDescent="0.3">
      <c r="A1381" s="14" t="s">
        <v>21</v>
      </c>
      <c r="B1381" s="15">
        <v>125</v>
      </c>
      <c r="C1381" s="15" t="s">
        <v>4</v>
      </c>
      <c r="D1381" s="15">
        <v>5</v>
      </c>
      <c r="E1381" s="22">
        <v>3.7</v>
      </c>
      <c r="F1381" s="15" t="s">
        <v>18</v>
      </c>
      <c r="G1381" s="15" t="s">
        <v>15</v>
      </c>
      <c r="H1381" s="17">
        <v>46630</v>
      </c>
      <c r="I1381" s="17"/>
      <c r="J1381" s="18"/>
      <c r="K1381" t="str">
        <f t="shared" si="21"/>
        <v>DE125-SDR33</v>
      </c>
      <c r="L1381" s="1">
        <f>VLOOKUP(K1381,'[1]Tarif - Evolution Marché'!$F:$M,8,0)</f>
        <v>3.6969674050632904</v>
      </c>
    </row>
    <row r="1382" spans="1:12" x14ac:dyDescent="0.3">
      <c r="A1382" s="8" t="s">
        <v>21</v>
      </c>
      <c r="B1382" s="11">
        <v>140</v>
      </c>
      <c r="C1382" s="11" t="s">
        <v>4</v>
      </c>
      <c r="D1382" s="11">
        <v>5</v>
      </c>
      <c r="E1382" s="22">
        <v>4.59</v>
      </c>
      <c r="F1382" s="11" t="s">
        <v>18</v>
      </c>
      <c r="G1382" s="11" t="s">
        <v>15</v>
      </c>
      <c r="H1382" s="12">
        <v>46630</v>
      </c>
      <c r="I1382" s="12"/>
      <c r="J1382" s="13"/>
      <c r="K1382" t="str">
        <f t="shared" si="21"/>
        <v>DE140-SDR33</v>
      </c>
      <c r="L1382" s="1">
        <f>VLOOKUP(K1382,'[1]Tarif - Evolution Marché'!$F:$M,8,0)</f>
        <v>4.5910052742616028</v>
      </c>
    </row>
    <row r="1383" spans="1:12" x14ac:dyDescent="0.3">
      <c r="A1383" s="14" t="s">
        <v>21</v>
      </c>
      <c r="B1383" s="15">
        <v>160</v>
      </c>
      <c r="C1383" s="15" t="s">
        <v>4</v>
      </c>
      <c r="D1383" s="15">
        <v>5</v>
      </c>
      <c r="E1383" s="22">
        <v>5.92</v>
      </c>
      <c r="F1383" s="15" t="s">
        <v>18</v>
      </c>
      <c r="G1383" s="15" t="s">
        <v>15</v>
      </c>
      <c r="H1383" s="17">
        <v>46630</v>
      </c>
      <c r="I1383" s="17"/>
      <c r="J1383" s="18"/>
      <c r="K1383" t="str">
        <f t="shared" si="21"/>
        <v>DE160-SDR33</v>
      </c>
      <c r="L1383" s="1">
        <f>VLOOKUP(K1383,'[1]Tarif - Evolution Marché'!$F:$M,8,0)</f>
        <v>5.9199804852320668</v>
      </c>
    </row>
    <row r="1384" spans="1:12" x14ac:dyDescent="0.3">
      <c r="A1384" s="8" t="s">
        <v>21</v>
      </c>
      <c r="B1384" s="11">
        <v>180</v>
      </c>
      <c r="C1384" s="11" t="s">
        <v>4</v>
      </c>
      <c r="D1384" s="11">
        <v>5</v>
      </c>
      <c r="E1384" s="22">
        <v>7.49</v>
      </c>
      <c r="F1384" s="11" t="s">
        <v>18</v>
      </c>
      <c r="G1384" s="11" t="s">
        <v>15</v>
      </c>
      <c r="H1384" s="12">
        <v>46630</v>
      </c>
      <c r="I1384" s="12"/>
      <c r="J1384" s="13"/>
      <c r="K1384" t="str">
        <f t="shared" si="21"/>
        <v>DE180-SDR33</v>
      </c>
      <c r="L1384" s="1">
        <f>VLOOKUP(K1384,'[1]Tarif - Evolution Marché'!$F:$M,8,0)</f>
        <v>7.4905875527426149</v>
      </c>
    </row>
    <row r="1385" spans="1:12" x14ac:dyDescent="0.3">
      <c r="A1385" s="14" t="s">
        <v>21</v>
      </c>
      <c r="B1385" s="15">
        <v>200</v>
      </c>
      <c r="C1385" s="15" t="s">
        <v>4</v>
      </c>
      <c r="D1385" s="15">
        <v>5</v>
      </c>
      <c r="E1385" s="22">
        <v>9.3800000000000008</v>
      </c>
      <c r="F1385" s="15" t="s">
        <v>18</v>
      </c>
      <c r="G1385" s="15" t="s">
        <v>15</v>
      </c>
      <c r="H1385" s="17">
        <v>46630</v>
      </c>
      <c r="I1385" s="17"/>
      <c r="J1385" s="18"/>
      <c r="K1385" t="str">
        <f t="shared" si="21"/>
        <v>DE200-SDR33</v>
      </c>
      <c r="L1385" s="1">
        <f>VLOOKUP(K1385,'[1]Tarif - Evolution Marché'!$F:$M,8,0)</f>
        <v>9.3753160337552721</v>
      </c>
    </row>
    <row r="1386" spans="1:12" x14ac:dyDescent="0.3">
      <c r="A1386" s="8" t="s">
        <v>21</v>
      </c>
      <c r="B1386" s="11">
        <v>225</v>
      </c>
      <c r="C1386" s="11" t="s">
        <v>4</v>
      </c>
      <c r="D1386" s="11">
        <v>5</v>
      </c>
      <c r="E1386" s="22">
        <v>11.65</v>
      </c>
      <c r="F1386" s="11" t="s">
        <v>18</v>
      </c>
      <c r="G1386" s="11" t="s">
        <v>15</v>
      </c>
      <c r="H1386" s="12">
        <v>46630</v>
      </c>
      <c r="I1386" s="12"/>
      <c r="J1386" s="13"/>
      <c r="K1386" t="str">
        <f t="shared" si="21"/>
        <v>DE225-SDR33</v>
      </c>
      <c r="L1386" s="1">
        <f>VLOOKUP(K1386,'[1]Tarif - Evolution Marché'!$F:$M,8,0)</f>
        <v>11.646655485232067</v>
      </c>
    </row>
    <row r="1387" spans="1:12" x14ac:dyDescent="0.3">
      <c r="A1387" s="14" t="s">
        <v>21</v>
      </c>
      <c r="B1387" s="15">
        <v>250</v>
      </c>
      <c r="C1387" s="15" t="s">
        <v>4</v>
      </c>
      <c r="D1387" s="15">
        <v>5</v>
      </c>
      <c r="E1387" s="22">
        <v>14.45</v>
      </c>
      <c r="F1387" s="15" t="s">
        <v>18</v>
      </c>
      <c r="G1387" s="15" t="s">
        <v>15</v>
      </c>
      <c r="H1387" s="17">
        <v>46630</v>
      </c>
      <c r="I1387" s="17"/>
      <c r="J1387" s="18"/>
      <c r="K1387" t="str">
        <f t="shared" si="21"/>
        <v>DE250-SDR33</v>
      </c>
      <c r="L1387" s="1">
        <f>VLOOKUP(K1387,'[1]Tarif - Evolution Marché'!$F:$M,8,0)</f>
        <v>14.449585021097045</v>
      </c>
    </row>
    <row r="1388" spans="1:12" x14ac:dyDescent="0.3">
      <c r="A1388" s="8" t="s">
        <v>21</v>
      </c>
      <c r="B1388" s="11">
        <v>280</v>
      </c>
      <c r="C1388" s="11" t="s">
        <v>4</v>
      </c>
      <c r="D1388" s="11">
        <v>5</v>
      </c>
      <c r="E1388" s="22">
        <v>18.05</v>
      </c>
      <c r="F1388" s="11" t="s">
        <v>18</v>
      </c>
      <c r="G1388" s="11" t="s">
        <v>15</v>
      </c>
      <c r="H1388" s="12">
        <v>46630</v>
      </c>
      <c r="I1388" s="12"/>
      <c r="J1388" s="13"/>
      <c r="K1388" t="str">
        <f t="shared" si="21"/>
        <v>DE280-SDR33</v>
      </c>
      <c r="L1388" s="1">
        <f>VLOOKUP(K1388,'[1]Tarif - Evolution Marché'!$F:$M,8,0)</f>
        <v>18.0498996835443</v>
      </c>
    </row>
    <row r="1389" spans="1:12" x14ac:dyDescent="0.3">
      <c r="A1389" s="14" t="s">
        <v>21</v>
      </c>
      <c r="B1389" s="15">
        <v>315</v>
      </c>
      <c r="C1389" s="15" t="s">
        <v>4</v>
      </c>
      <c r="D1389" s="15">
        <v>5</v>
      </c>
      <c r="E1389" s="22">
        <v>22.88</v>
      </c>
      <c r="F1389" s="15" t="s">
        <v>18</v>
      </c>
      <c r="G1389" s="15" t="s">
        <v>15</v>
      </c>
      <c r="H1389" s="17">
        <v>46630</v>
      </c>
      <c r="I1389" s="17"/>
      <c r="J1389" s="18"/>
      <c r="K1389" t="str">
        <f t="shared" si="21"/>
        <v>DE315-SDR33</v>
      </c>
      <c r="L1389" s="1">
        <f>VLOOKUP(K1389,'[1]Tarif - Evolution Marché'!$F:$M,8,0)</f>
        <v>22.88253681434599</v>
      </c>
    </row>
    <row r="1390" spans="1:12" x14ac:dyDescent="0.3">
      <c r="A1390" s="8" t="s">
        <v>21</v>
      </c>
      <c r="B1390" s="11">
        <v>355</v>
      </c>
      <c r="C1390" s="11" t="s">
        <v>4</v>
      </c>
      <c r="D1390" s="11">
        <v>5</v>
      </c>
      <c r="E1390" s="22">
        <v>29</v>
      </c>
      <c r="F1390" s="11" t="s">
        <v>18</v>
      </c>
      <c r="G1390" s="11" t="s">
        <v>15</v>
      </c>
      <c r="H1390" s="12">
        <v>46630</v>
      </c>
      <c r="I1390" s="12"/>
      <c r="J1390" s="13"/>
      <c r="K1390" t="str">
        <f t="shared" si="21"/>
        <v>DE355-SDR33</v>
      </c>
      <c r="L1390" s="1">
        <f>VLOOKUP(K1390,'[1]Tarif - Evolution Marché'!$F:$M,8,0)</f>
        <v>28.995822784810123</v>
      </c>
    </row>
    <row r="1391" spans="1:12" x14ac:dyDescent="0.3">
      <c r="A1391" s="14" t="s">
        <v>21</v>
      </c>
      <c r="B1391" s="15">
        <v>400</v>
      </c>
      <c r="C1391" s="15" t="s">
        <v>4</v>
      </c>
      <c r="D1391" s="15">
        <v>5</v>
      </c>
      <c r="E1391" s="22">
        <v>36.729999999999997</v>
      </c>
      <c r="F1391" s="15" t="s">
        <v>18</v>
      </c>
      <c r="G1391" s="15" t="s">
        <v>15</v>
      </c>
      <c r="H1391" s="17">
        <v>46630</v>
      </c>
      <c r="I1391" s="17"/>
      <c r="J1391" s="18"/>
      <c r="K1391" t="str">
        <f t="shared" si="21"/>
        <v>DE400-SDR33</v>
      </c>
      <c r="L1391" s="1">
        <f>VLOOKUP(K1391,'[1]Tarif - Evolution Marché'!$F:$M,8,0)</f>
        <v>36.728042194092822</v>
      </c>
    </row>
    <row r="1392" spans="1:12" x14ac:dyDescent="0.3">
      <c r="A1392" s="8" t="s">
        <v>21</v>
      </c>
      <c r="B1392" s="11">
        <v>450</v>
      </c>
      <c r="C1392" s="11" t="s">
        <v>4</v>
      </c>
      <c r="D1392" s="11">
        <v>5</v>
      </c>
      <c r="E1392" s="22">
        <v>46.39</v>
      </c>
      <c r="F1392" s="11" t="s">
        <v>18</v>
      </c>
      <c r="G1392" s="11" t="s">
        <v>15</v>
      </c>
      <c r="H1392" s="12">
        <v>46630</v>
      </c>
      <c r="I1392" s="12"/>
      <c r="J1392" s="13"/>
      <c r="K1392" t="str">
        <f t="shared" si="21"/>
        <v>DE450-SDR33</v>
      </c>
      <c r="L1392" s="1">
        <f>VLOOKUP(K1392,'[1]Tarif - Evolution Marché'!$F:$M,8,0)</f>
        <v>46.393316455696194</v>
      </c>
    </row>
    <row r="1393" spans="1:12" x14ac:dyDescent="0.3">
      <c r="A1393" s="14" t="s">
        <v>21</v>
      </c>
      <c r="B1393" s="15">
        <v>500</v>
      </c>
      <c r="C1393" s="15" t="s">
        <v>4</v>
      </c>
      <c r="D1393" s="15">
        <v>5</v>
      </c>
      <c r="E1393" s="22">
        <v>57.03</v>
      </c>
      <c r="F1393" s="15" t="s">
        <v>18</v>
      </c>
      <c r="G1393" s="15" t="s">
        <v>15</v>
      </c>
      <c r="H1393" s="17">
        <v>46630</v>
      </c>
      <c r="I1393" s="17"/>
      <c r="J1393" s="18"/>
      <c r="K1393" t="str">
        <f t="shared" si="21"/>
        <v>DE500-SDR33</v>
      </c>
      <c r="L1393" s="1">
        <f>VLOOKUP(K1393,'[1]Tarif - Evolution Marché'!$F:$M,8,0)</f>
        <v>57.025118143459906</v>
      </c>
    </row>
    <row r="1394" spans="1:12" x14ac:dyDescent="0.3">
      <c r="A1394" s="8" t="s">
        <v>21</v>
      </c>
      <c r="B1394" s="11">
        <v>560</v>
      </c>
      <c r="C1394" s="11" t="s">
        <v>4</v>
      </c>
      <c r="D1394" s="11">
        <v>5</v>
      </c>
      <c r="E1394" s="22">
        <v>71.760000000000005</v>
      </c>
      <c r="F1394" s="11" t="s">
        <v>18</v>
      </c>
      <c r="G1394" s="11" t="s">
        <v>15</v>
      </c>
      <c r="H1394" s="12">
        <v>46630</v>
      </c>
      <c r="I1394" s="12"/>
      <c r="J1394" s="13"/>
      <c r="K1394" t="str">
        <f t="shared" si="21"/>
        <v>DE560-SDR33</v>
      </c>
      <c r="L1394" s="1">
        <f>VLOOKUP(K1394,'[1]Tarif - Evolution Marché'!$F:$M,8,0)</f>
        <v>71.764661392405046</v>
      </c>
    </row>
    <row r="1395" spans="1:12" x14ac:dyDescent="0.3">
      <c r="A1395" s="14" t="s">
        <v>21</v>
      </c>
      <c r="B1395" s="15">
        <v>630</v>
      </c>
      <c r="C1395" s="15" t="s">
        <v>4</v>
      </c>
      <c r="D1395" s="15">
        <v>5</v>
      </c>
      <c r="E1395" s="22">
        <v>90.61</v>
      </c>
      <c r="F1395" s="15" t="s">
        <v>18</v>
      </c>
      <c r="G1395" s="15" t="s">
        <v>15</v>
      </c>
      <c r="H1395" s="17">
        <v>46630</v>
      </c>
      <c r="I1395" s="17"/>
      <c r="J1395" s="18"/>
      <c r="K1395" t="str">
        <f t="shared" si="21"/>
        <v>DE630-SDR33</v>
      </c>
      <c r="L1395" s="1">
        <f>VLOOKUP(K1395,'[1]Tarif - Evolution Marché'!$F:$M,8,0)</f>
        <v>90.611946202531627</v>
      </c>
    </row>
    <row r="1396" spans="1:12" x14ac:dyDescent="0.3">
      <c r="A1396" s="8" t="s">
        <v>21</v>
      </c>
      <c r="B1396" s="11">
        <v>710</v>
      </c>
      <c r="C1396" s="11" t="s">
        <v>4</v>
      </c>
      <c r="D1396" s="11">
        <v>5</v>
      </c>
      <c r="E1396" s="22">
        <v>115.26</v>
      </c>
      <c r="F1396" s="11" t="s">
        <v>18</v>
      </c>
      <c r="G1396" s="11" t="s">
        <v>15</v>
      </c>
      <c r="H1396" s="12">
        <v>46630</v>
      </c>
      <c r="I1396" s="12"/>
      <c r="J1396" s="13"/>
      <c r="K1396" t="str">
        <f t="shared" si="21"/>
        <v>DE710-SDR33</v>
      </c>
      <c r="L1396" s="1">
        <f>VLOOKUP(K1396,'[1]Tarif - Evolution Marché'!$F:$M,8,0)</f>
        <v>115.25839556962023</v>
      </c>
    </row>
    <row r="1397" spans="1:12" x14ac:dyDescent="0.3">
      <c r="A1397" s="14" t="s">
        <v>21</v>
      </c>
      <c r="B1397" s="15">
        <v>800</v>
      </c>
      <c r="C1397" s="15" t="s">
        <v>4</v>
      </c>
      <c r="D1397" s="15">
        <v>5</v>
      </c>
      <c r="E1397" s="22">
        <v>145.94999999999999</v>
      </c>
      <c r="F1397" s="15" t="s">
        <v>18</v>
      </c>
      <c r="G1397" s="15" t="s">
        <v>15</v>
      </c>
      <c r="H1397" s="17">
        <v>46630</v>
      </c>
      <c r="I1397" s="17"/>
      <c r="J1397" s="18"/>
      <c r="K1397" t="str">
        <f t="shared" si="21"/>
        <v>DE800-SDR33</v>
      </c>
      <c r="L1397" s="1">
        <f>VLOOKUP(K1397,'[1]Tarif - Evolution Marché'!$F:$M,8,0)</f>
        <v>145.94564135021093</v>
      </c>
    </row>
    <row r="1398" spans="1:12" x14ac:dyDescent="0.3">
      <c r="A1398" s="8" t="s">
        <v>21</v>
      </c>
      <c r="B1398" s="11">
        <v>900</v>
      </c>
      <c r="C1398" s="11" t="s">
        <v>4</v>
      </c>
      <c r="D1398" s="11">
        <v>5</v>
      </c>
      <c r="E1398" s="22">
        <v>184.61</v>
      </c>
      <c r="F1398" s="11" t="s">
        <v>18</v>
      </c>
      <c r="G1398" s="11" t="s">
        <v>15</v>
      </c>
      <c r="H1398" s="12">
        <v>46630</v>
      </c>
      <c r="I1398" s="12"/>
      <c r="J1398" s="13"/>
      <c r="K1398" t="str">
        <f t="shared" si="21"/>
        <v>DE900-SDR33</v>
      </c>
      <c r="L1398" s="1">
        <f>VLOOKUP(K1398,'[1]Tarif - Evolution Marché'!$F:$M,8,0)</f>
        <v>184.60673839662445</v>
      </c>
    </row>
    <row r="1399" spans="1:12" x14ac:dyDescent="0.3">
      <c r="A1399" s="14" t="s">
        <v>21</v>
      </c>
      <c r="B1399" s="15">
        <v>1000</v>
      </c>
      <c r="C1399" s="15" t="s">
        <v>4</v>
      </c>
      <c r="D1399" s="15">
        <v>5</v>
      </c>
      <c r="E1399" s="22">
        <v>227.38</v>
      </c>
      <c r="F1399" s="15" t="s">
        <v>18</v>
      </c>
      <c r="G1399" s="15" t="s">
        <v>15</v>
      </c>
      <c r="H1399" s="17">
        <v>46630</v>
      </c>
      <c r="I1399" s="17"/>
      <c r="J1399" s="18"/>
      <c r="K1399" t="str">
        <f t="shared" si="21"/>
        <v>DE1000-SDR33</v>
      </c>
      <c r="L1399" s="1">
        <f>VLOOKUP(K1399,'[1]Tarif - Evolution Marché'!$F:$M,8,0)</f>
        <v>227.37557700421937</v>
      </c>
    </row>
    <row r="1400" spans="1:12" x14ac:dyDescent="0.3">
      <c r="A1400" s="8" t="s">
        <v>21</v>
      </c>
      <c r="B1400" s="11">
        <v>1200</v>
      </c>
      <c r="C1400" s="11" t="s">
        <v>4</v>
      </c>
      <c r="D1400" s="11">
        <v>5</v>
      </c>
      <c r="E1400" s="22">
        <v>326.2</v>
      </c>
      <c r="F1400" s="11" t="s">
        <v>18</v>
      </c>
      <c r="G1400" s="11" t="s">
        <v>15</v>
      </c>
      <c r="H1400" s="12">
        <v>46630</v>
      </c>
      <c r="I1400" s="12"/>
      <c r="J1400" s="13"/>
      <c r="K1400" t="str">
        <f t="shared" si="21"/>
        <v>DE1200-SDR33</v>
      </c>
      <c r="L1400" s="1">
        <f>VLOOKUP(K1400,'[1]Tarif - Evolution Marché'!$F:$M,8,0)</f>
        <v>326.20300632911386</v>
      </c>
    </row>
    <row r="1401" spans="1:12" x14ac:dyDescent="0.3">
      <c r="A1401" s="14" t="s">
        <v>21</v>
      </c>
      <c r="B1401" s="15">
        <v>40</v>
      </c>
      <c r="C1401" s="15" t="s">
        <v>5</v>
      </c>
      <c r="D1401" s="15">
        <v>6</v>
      </c>
      <c r="E1401" s="22">
        <v>0.55000000000000004</v>
      </c>
      <c r="F1401" s="15" t="s">
        <v>18</v>
      </c>
      <c r="G1401" s="15" t="s">
        <v>15</v>
      </c>
      <c r="H1401" s="17">
        <v>46630</v>
      </c>
      <c r="I1401" s="17"/>
      <c r="J1401" s="18"/>
      <c r="K1401" t="str">
        <f t="shared" si="21"/>
        <v>DE40-SDR26</v>
      </c>
      <c r="L1401" s="1">
        <f>VLOOKUP(K1401,'[1]Tarif - Evolution Marché'!$F:$M,8,0)</f>
        <v>0.55333695147679318</v>
      </c>
    </row>
    <row r="1402" spans="1:12" x14ac:dyDescent="0.3">
      <c r="A1402" s="8" t="s">
        <v>21</v>
      </c>
      <c r="B1402" s="11">
        <v>50</v>
      </c>
      <c r="C1402" s="11" t="s">
        <v>5</v>
      </c>
      <c r="D1402" s="11">
        <v>6</v>
      </c>
      <c r="E1402" s="22">
        <v>0.77</v>
      </c>
      <c r="F1402" s="11" t="s">
        <v>18</v>
      </c>
      <c r="G1402" s="11" t="s">
        <v>15</v>
      </c>
      <c r="H1402" s="12">
        <v>46630</v>
      </c>
      <c r="I1402" s="12"/>
      <c r="J1402" s="13"/>
      <c r="K1402" t="str">
        <f t="shared" si="21"/>
        <v>DE50-SDR26</v>
      </c>
      <c r="L1402" s="1">
        <f>VLOOKUP(K1402,'[1]Tarif - Evolution Marché'!$F:$M,8,0)</f>
        <v>0.76597298523206736</v>
      </c>
    </row>
    <row r="1403" spans="1:12" x14ac:dyDescent="0.3">
      <c r="A1403" s="14" t="s">
        <v>21</v>
      </c>
      <c r="B1403" s="15">
        <v>63</v>
      </c>
      <c r="C1403" s="15" t="s">
        <v>5</v>
      </c>
      <c r="D1403" s="15">
        <v>6</v>
      </c>
      <c r="E1403" s="22">
        <v>1.21</v>
      </c>
      <c r="F1403" s="15" t="s">
        <v>18</v>
      </c>
      <c r="G1403" s="15" t="s">
        <v>15</v>
      </c>
      <c r="H1403" s="17">
        <v>46630</v>
      </c>
      <c r="I1403" s="17"/>
      <c r="J1403" s="18"/>
      <c r="K1403" t="str">
        <f t="shared" si="21"/>
        <v>DE63-SDR26</v>
      </c>
      <c r="L1403" s="1">
        <f>VLOOKUP(K1403,'[1]Tarif - Evolution Marché'!$F:$M,8,0)</f>
        <v>1.2081592827004217</v>
      </c>
    </row>
    <row r="1404" spans="1:12" x14ac:dyDescent="0.3">
      <c r="A1404" s="8" t="s">
        <v>21</v>
      </c>
      <c r="B1404" s="11">
        <v>75</v>
      </c>
      <c r="C1404" s="11" t="s">
        <v>5</v>
      </c>
      <c r="D1404" s="11">
        <v>6</v>
      </c>
      <c r="E1404" s="22">
        <v>1.65</v>
      </c>
      <c r="F1404" s="11" t="s">
        <v>18</v>
      </c>
      <c r="G1404" s="11" t="s">
        <v>15</v>
      </c>
      <c r="H1404" s="12">
        <v>46630</v>
      </c>
      <c r="I1404" s="12"/>
      <c r="J1404" s="13"/>
      <c r="K1404" t="str">
        <f t="shared" si="21"/>
        <v>DE75-SDR26</v>
      </c>
      <c r="L1404" s="1">
        <f>VLOOKUP(K1404,'[1]Tarif - Evolution Marché'!$F:$M,8,0)</f>
        <v>1.6503455801687763</v>
      </c>
    </row>
    <row r="1405" spans="1:12" x14ac:dyDescent="0.3">
      <c r="A1405" s="14" t="s">
        <v>21</v>
      </c>
      <c r="B1405" s="15">
        <v>90</v>
      </c>
      <c r="C1405" s="15" t="s">
        <v>5</v>
      </c>
      <c r="D1405" s="15">
        <v>6</v>
      </c>
      <c r="E1405" s="22">
        <v>2.39</v>
      </c>
      <c r="F1405" s="15" t="s">
        <v>18</v>
      </c>
      <c r="G1405" s="15" t="s">
        <v>15</v>
      </c>
      <c r="H1405" s="17">
        <v>46630</v>
      </c>
      <c r="I1405" s="17"/>
      <c r="J1405" s="18"/>
      <c r="K1405" t="str">
        <f t="shared" si="21"/>
        <v>DE90-SDR26</v>
      </c>
      <c r="L1405" s="1">
        <f>VLOOKUP(K1405,'[1]Tarif - Evolution Marché'!$F:$M,8,0)</f>
        <v>2.3873227426160333</v>
      </c>
    </row>
    <row r="1406" spans="1:12" x14ac:dyDescent="0.3">
      <c r="A1406" s="8" t="s">
        <v>21</v>
      </c>
      <c r="B1406" s="11">
        <v>110</v>
      </c>
      <c r="C1406" s="11" t="s">
        <v>5</v>
      </c>
      <c r="D1406" s="11">
        <v>6</v>
      </c>
      <c r="E1406" s="22">
        <v>3.5</v>
      </c>
      <c r="F1406" s="11" t="s">
        <v>18</v>
      </c>
      <c r="G1406" s="11" t="s">
        <v>15</v>
      </c>
      <c r="H1406" s="12">
        <v>46630</v>
      </c>
      <c r="I1406" s="12"/>
      <c r="J1406" s="13"/>
      <c r="K1406" t="str">
        <f t="shared" si="21"/>
        <v>DE110-SDR26</v>
      </c>
      <c r="L1406" s="1">
        <f>VLOOKUP(K1406,'[1]Tarif - Evolution Marché'!$F:$M,8,0)</f>
        <v>3.5036619198312229</v>
      </c>
    </row>
    <row r="1407" spans="1:12" x14ac:dyDescent="0.3">
      <c r="A1407" s="14" t="s">
        <v>21</v>
      </c>
      <c r="B1407" s="15">
        <v>125</v>
      </c>
      <c r="C1407" s="15" t="s">
        <v>5</v>
      </c>
      <c r="D1407" s="15">
        <v>6</v>
      </c>
      <c r="E1407" s="22">
        <v>4.49</v>
      </c>
      <c r="F1407" s="15" t="s">
        <v>18</v>
      </c>
      <c r="G1407" s="15" t="s">
        <v>15</v>
      </c>
      <c r="H1407" s="17">
        <v>46630</v>
      </c>
      <c r="I1407" s="17"/>
      <c r="J1407" s="18"/>
      <c r="K1407" t="str">
        <f t="shared" si="21"/>
        <v>DE125-SDR26</v>
      </c>
      <c r="L1407" s="1">
        <f>VLOOKUP(K1407,'[1]Tarif - Evolution Marché'!$F:$M,8,0)</f>
        <v>4.4943525316455695</v>
      </c>
    </row>
    <row r="1408" spans="1:12" x14ac:dyDescent="0.3">
      <c r="A1408" s="8" t="s">
        <v>21</v>
      </c>
      <c r="B1408" s="11">
        <v>140</v>
      </c>
      <c r="C1408" s="11" t="s">
        <v>5</v>
      </c>
      <c r="D1408" s="11">
        <v>6</v>
      </c>
      <c r="E1408" s="22">
        <v>5.68</v>
      </c>
      <c r="F1408" s="11" t="s">
        <v>18</v>
      </c>
      <c r="G1408" s="11" t="s">
        <v>15</v>
      </c>
      <c r="H1408" s="12">
        <v>46630</v>
      </c>
      <c r="I1408" s="12"/>
      <c r="J1408" s="13"/>
      <c r="K1408" t="str">
        <f t="shared" si="21"/>
        <v>DE140-SDR26</v>
      </c>
      <c r="L1408" s="1">
        <f>VLOOKUP(K1408,'[1]Tarif - Evolution Marché'!$F:$M,8,0)</f>
        <v>5.6783486286919826</v>
      </c>
    </row>
    <row r="1409" spans="1:12" x14ac:dyDescent="0.3">
      <c r="A1409" s="14" t="s">
        <v>21</v>
      </c>
      <c r="B1409" s="15">
        <v>160</v>
      </c>
      <c r="C1409" s="15" t="s">
        <v>5</v>
      </c>
      <c r="D1409" s="15">
        <v>6</v>
      </c>
      <c r="E1409" s="22">
        <v>7.44</v>
      </c>
      <c r="F1409" s="15" t="s">
        <v>18</v>
      </c>
      <c r="G1409" s="15" t="s">
        <v>15</v>
      </c>
      <c r="H1409" s="17">
        <v>46630</v>
      </c>
      <c r="I1409" s="17"/>
      <c r="J1409" s="18"/>
      <c r="K1409" t="str">
        <f t="shared" si="21"/>
        <v>DE160-SDR26</v>
      </c>
      <c r="L1409" s="1">
        <f>VLOOKUP(K1409,'[1]Tarif - Evolution Marché'!$F:$M,8,0)</f>
        <v>7.4422611814345982</v>
      </c>
    </row>
    <row r="1410" spans="1:12" x14ac:dyDescent="0.3">
      <c r="A1410" s="8" t="s">
        <v>21</v>
      </c>
      <c r="B1410" s="11">
        <v>180</v>
      </c>
      <c r="C1410" s="11" t="s">
        <v>5</v>
      </c>
      <c r="D1410" s="11">
        <v>6</v>
      </c>
      <c r="E1410" s="22">
        <v>9.25</v>
      </c>
      <c r="F1410" s="11" t="s">
        <v>18</v>
      </c>
      <c r="G1410" s="11" t="s">
        <v>15</v>
      </c>
      <c r="H1410" s="12">
        <v>46630</v>
      </c>
      <c r="I1410" s="12"/>
      <c r="J1410" s="13"/>
      <c r="K1410" t="str">
        <f t="shared" si="21"/>
        <v>DE180-SDR26</v>
      </c>
      <c r="L1410" s="1">
        <f>VLOOKUP(K1410,'[1]Tarif - Evolution Marché'!$F:$M,8,0)</f>
        <v>9.2545001054852314</v>
      </c>
    </row>
    <row r="1411" spans="1:12" x14ac:dyDescent="0.3">
      <c r="A1411" s="14" t="s">
        <v>21</v>
      </c>
      <c r="B1411" s="15">
        <v>200</v>
      </c>
      <c r="C1411" s="15" t="s">
        <v>5</v>
      </c>
      <c r="D1411" s="15">
        <v>6</v>
      </c>
      <c r="E1411" s="22">
        <v>11.45</v>
      </c>
      <c r="F1411" s="15" t="s">
        <v>18</v>
      </c>
      <c r="G1411" s="15" t="s">
        <v>15</v>
      </c>
      <c r="H1411" s="17">
        <v>46630</v>
      </c>
      <c r="I1411" s="17"/>
      <c r="J1411" s="18"/>
      <c r="K1411" t="str">
        <f t="shared" ref="K1411:K1474" si="22">CONCATENATE("DE",B1411,"-",C1411)</f>
        <v>DE200-SDR26</v>
      </c>
      <c r="L1411" s="1">
        <f>VLOOKUP(K1411,'[1]Tarif - Evolution Marché'!$F:$M,8,0)</f>
        <v>11.453349999999999</v>
      </c>
    </row>
    <row r="1412" spans="1:12" x14ac:dyDescent="0.3">
      <c r="A1412" s="8" t="s">
        <v>21</v>
      </c>
      <c r="B1412" s="11">
        <v>225</v>
      </c>
      <c r="C1412" s="11" t="s">
        <v>5</v>
      </c>
      <c r="D1412" s="11">
        <v>6</v>
      </c>
      <c r="E1412" s="22">
        <v>14.4</v>
      </c>
      <c r="F1412" s="11" t="s">
        <v>18</v>
      </c>
      <c r="G1412" s="11" t="s">
        <v>15</v>
      </c>
      <c r="H1412" s="12">
        <v>46630</v>
      </c>
      <c r="I1412" s="12"/>
      <c r="J1412" s="13"/>
      <c r="K1412" t="str">
        <f t="shared" si="22"/>
        <v>DE225-SDR26</v>
      </c>
      <c r="L1412" s="1">
        <f>VLOOKUP(K1412,'[1]Tarif - Evolution Marché'!$F:$M,8,0)</f>
        <v>14.401258649789026</v>
      </c>
    </row>
    <row r="1413" spans="1:12" x14ac:dyDescent="0.3">
      <c r="A1413" s="14" t="s">
        <v>21</v>
      </c>
      <c r="B1413" s="15">
        <v>250</v>
      </c>
      <c r="C1413" s="15" t="s">
        <v>5</v>
      </c>
      <c r="D1413" s="15">
        <v>6</v>
      </c>
      <c r="E1413" s="22">
        <v>17.829999999999998</v>
      </c>
      <c r="F1413" s="15" t="s">
        <v>18</v>
      </c>
      <c r="G1413" s="15" t="s">
        <v>15</v>
      </c>
      <c r="H1413" s="17">
        <v>46630</v>
      </c>
      <c r="I1413" s="17"/>
      <c r="J1413" s="18"/>
      <c r="K1413" t="str">
        <f t="shared" si="22"/>
        <v>DE250-SDR26</v>
      </c>
      <c r="L1413" s="1">
        <f>VLOOKUP(K1413,'[1]Tarif - Evolution Marché'!$F:$M,8,0)</f>
        <v>17.832431012658223</v>
      </c>
    </row>
    <row r="1414" spans="1:12" x14ac:dyDescent="0.3">
      <c r="A1414" s="8" t="s">
        <v>21</v>
      </c>
      <c r="B1414" s="11">
        <v>280</v>
      </c>
      <c r="C1414" s="11" t="s">
        <v>5</v>
      </c>
      <c r="D1414" s="11">
        <v>6</v>
      </c>
      <c r="E1414" s="22">
        <v>22.23</v>
      </c>
      <c r="F1414" s="11" t="s">
        <v>18</v>
      </c>
      <c r="G1414" s="11" t="s">
        <v>15</v>
      </c>
      <c r="H1414" s="12">
        <v>46630</v>
      </c>
      <c r="I1414" s="12"/>
      <c r="J1414" s="13"/>
      <c r="K1414" t="str">
        <f t="shared" si="22"/>
        <v>DE280-SDR26</v>
      </c>
      <c r="L1414" s="1">
        <f>VLOOKUP(K1414,'[1]Tarif - Evolution Marché'!$F:$M,8,0)</f>
        <v>22.230130801687757</v>
      </c>
    </row>
    <row r="1415" spans="1:12" x14ac:dyDescent="0.3">
      <c r="A1415" s="14" t="s">
        <v>21</v>
      </c>
      <c r="B1415" s="15">
        <v>315</v>
      </c>
      <c r="C1415" s="15" t="s">
        <v>5</v>
      </c>
      <c r="D1415" s="15">
        <v>6</v>
      </c>
      <c r="E1415" s="22">
        <v>28.27</v>
      </c>
      <c r="F1415" s="15" t="s">
        <v>18</v>
      </c>
      <c r="G1415" s="15" t="s">
        <v>15</v>
      </c>
      <c r="H1415" s="17">
        <v>46630</v>
      </c>
      <c r="I1415" s="17"/>
      <c r="J1415" s="18"/>
      <c r="K1415" t="str">
        <f t="shared" si="22"/>
        <v>DE315-SDR26</v>
      </c>
      <c r="L1415" s="1">
        <f>VLOOKUP(K1415,'[1]Tarif - Evolution Marché'!$F:$M,8,0)</f>
        <v>28.270927215189868</v>
      </c>
    </row>
    <row r="1416" spans="1:12" x14ac:dyDescent="0.3">
      <c r="A1416" s="8" t="s">
        <v>21</v>
      </c>
      <c r="B1416" s="11">
        <v>355</v>
      </c>
      <c r="C1416" s="11" t="s">
        <v>5</v>
      </c>
      <c r="D1416" s="11">
        <v>6</v>
      </c>
      <c r="E1416" s="22">
        <v>35.76</v>
      </c>
      <c r="F1416" s="11" t="s">
        <v>18</v>
      </c>
      <c r="G1416" s="11" t="s">
        <v>15</v>
      </c>
      <c r="H1416" s="12">
        <v>46630</v>
      </c>
      <c r="I1416" s="12"/>
      <c r="J1416" s="13"/>
      <c r="K1416" t="str">
        <f t="shared" si="22"/>
        <v>DE355-SDR26</v>
      </c>
      <c r="L1416" s="1">
        <f>VLOOKUP(K1416,'[1]Tarif - Evolution Marché'!$F:$M,8,0)</f>
        <v>35.761514767932482</v>
      </c>
    </row>
    <row r="1417" spans="1:12" x14ac:dyDescent="0.3">
      <c r="A1417" s="14" t="s">
        <v>21</v>
      </c>
      <c r="B1417" s="15">
        <v>400</v>
      </c>
      <c r="C1417" s="15" t="s">
        <v>5</v>
      </c>
      <c r="D1417" s="15">
        <v>6</v>
      </c>
      <c r="E1417" s="22">
        <v>45.43</v>
      </c>
      <c r="F1417" s="15" t="s">
        <v>18</v>
      </c>
      <c r="G1417" s="15" t="s">
        <v>15</v>
      </c>
      <c r="H1417" s="17">
        <v>46630</v>
      </c>
      <c r="I1417" s="17"/>
      <c r="J1417" s="18"/>
      <c r="K1417" t="str">
        <f t="shared" si="22"/>
        <v>DE400-SDR26</v>
      </c>
      <c r="L1417" s="1">
        <f>VLOOKUP(K1417,'[1]Tarif - Evolution Marché'!$F:$M,8,0)</f>
        <v>45.426789029535861</v>
      </c>
    </row>
    <row r="1418" spans="1:12" x14ac:dyDescent="0.3">
      <c r="A1418" s="8" t="s">
        <v>21</v>
      </c>
      <c r="B1418" s="11">
        <v>450</v>
      </c>
      <c r="C1418" s="11" t="s">
        <v>5</v>
      </c>
      <c r="D1418" s="11">
        <v>6</v>
      </c>
      <c r="E1418" s="22">
        <v>57.27</v>
      </c>
      <c r="F1418" s="11" t="s">
        <v>18</v>
      </c>
      <c r="G1418" s="11" t="s">
        <v>15</v>
      </c>
      <c r="H1418" s="12">
        <v>46630</v>
      </c>
      <c r="I1418" s="12"/>
      <c r="J1418" s="13"/>
      <c r="K1418" t="str">
        <f t="shared" si="22"/>
        <v>DE450-SDR26</v>
      </c>
      <c r="L1418" s="1">
        <f>VLOOKUP(K1418,'[1]Tarif - Evolution Marché'!$F:$M,8,0)</f>
        <v>57.266749999999988</v>
      </c>
    </row>
    <row r="1419" spans="1:12" x14ac:dyDescent="0.3">
      <c r="A1419" s="14" t="s">
        <v>21</v>
      </c>
      <c r="B1419" s="15">
        <v>500</v>
      </c>
      <c r="C1419" s="15" t="s">
        <v>5</v>
      </c>
      <c r="D1419" s="15">
        <v>6</v>
      </c>
      <c r="E1419" s="22">
        <v>70.56</v>
      </c>
      <c r="F1419" s="15" t="s">
        <v>18</v>
      </c>
      <c r="G1419" s="15" t="s">
        <v>15</v>
      </c>
      <c r="H1419" s="17">
        <v>46630</v>
      </c>
      <c r="I1419" s="17"/>
      <c r="J1419" s="18"/>
      <c r="K1419" t="str">
        <f t="shared" si="22"/>
        <v>DE500-SDR26</v>
      </c>
      <c r="L1419" s="1">
        <f>VLOOKUP(K1419,'[1]Tarif - Evolution Marché'!$F:$M,8,0)</f>
        <v>70.556502109704624</v>
      </c>
    </row>
    <row r="1420" spans="1:12" x14ac:dyDescent="0.3">
      <c r="A1420" s="8" t="s">
        <v>21</v>
      </c>
      <c r="B1420" s="11">
        <v>560</v>
      </c>
      <c r="C1420" s="11" t="s">
        <v>5</v>
      </c>
      <c r="D1420" s="11">
        <v>6</v>
      </c>
      <c r="E1420" s="22">
        <v>88.44</v>
      </c>
      <c r="F1420" s="11" t="s">
        <v>18</v>
      </c>
      <c r="G1420" s="11" t="s">
        <v>15</v>
      </c>
      <c r="H1420" s="12">
        <v>46630</v>
      </c>
      <c r="I1420" s="12"/>
      <c r="J1420" s="13"/>
      <c r="K1420" t="str">
        <f t="shared" si="22"/>
        <v>DE560-SDR26</v>
      </c>
      <c r="L1420" s="1">
        <f>VLOOKUP(K1420,'[1]Tarif - Evolution Marché'!$F:$M,8,0)</f>
        <v>88.437259493670879</v>
      </c>
    </row>
    <row r="1421" spans="1:12" x14ac:dyDescent="0.3">
      <c r="A1421" s="14" t="s">
        <v>21</v>
      </c>
      <c r="B1421" s="15">
        <v>630</v>
      </c>
      <c r="C1421" s="15" t="s">
        <v>5</v>
      </c>
      <c r="D1421" s="15">
        <v>6</v>
      </c>
      <c r="E1421" s="22">
        <v>112.12</v>
      </c>
      <c r="F1421" s="15" t="s">
        <v>18</v>
      </c>
      <c r="G1421" s="15" t="s">
        <v>15</v>
      </c>
      <c r="H1421" s="17">
        <v>46630</v>
      </c>
      <c r="I1421" s="17"/>
      <c r="J1421" s="18"/>
      <c r="K1421" t="str">
        <f t="shared" si="22"/>
        <v>DE630-SDR26</v>
      </c>
      <c r="L1421" s="1">
        <f>VLOOKUP(K1421,'[1]Tarif - Evolution Marché'!$F:$M,8,0)</f>
        <v>112.11718143459913</v>
      </c>
    </row>
    <row r="1422" spans="1:12" x14ac:dyDescent="0.3">
      <c r="A1422" s="8" t="s">
        <v>21</v>
      </c>
      <c r="B1422" s="11">
        <v>710</v>
      </c>
      <c r="C1422" s="11" t="s">
        <v>5</v>
      </c>
      <c r="D1422" s="11">
        <v>6</v>
      </c>
      <c r="E1422" s="22">
        <v>142.56</v>
      </c>
      <c r="F1422" s="11" t="s">
        <v>18</v>
      </c>
      <c r="G1422" s="11" t="s">
        <v>15</v>
      </c>
      <c r="H1422" s="12">
        <v>46630</v>
      </c>
      <c r="I1422" s="12"/>
      <c r="J1422" s="13"/>
      <c r="K1422" t="str">
        <f t="shared" si="22"/>
        <v>DE710-SDR26</v>
      </c>
      <c r="L1422" s="1">
        <f>VLOOKUP(K1422,'[1]Tarif - Evolution Marché'!$F:$M,8,0)</f>
        <v>142.56279535864977</v>
      </c>
    </row>
    <row r="1423" spans="1:12" x14ac:dyDescent="0.3">
      <c r="A1423" s="14" t="s">
        <v>21</v>
      </c>
      <c r="B1423" s="15">
        <v>800</v>
      </c>
      <c r="C1423" s="15" t="s">
        <v>5</v>
      </c>
      <c r="D1423" s="15">
        <v>6</v>
      </c>
      <c r="E1423" s="22">
        <v>180.5</v>
      </c>
      <c r="F1423" s="15" t="s">
        <v>18</v>
      </c>
      <c r="G1423" s="15" t="s">
        <v>15</v>
      </c>
      <c r="H1423" s="17">
        <v>46630</v>
      </c>
      <c r="I1423" s="17"/>
      <c r="J1423" s="18"/>
      <c r="K1423" t="str">
        <f t="shared" si="22"/>
        <v>DE800-SDR26</v>
      </c>
      <c r="L1423" s="1">
        <f>VLOOKUP(K1423,'[1]Tarif - Evolution Marché'!$F:$M,8,0)</f>
        <v>180.49899683544302</v>
      </c>
    </row>
    <row r="1424" spans="1:12" x14ac:dyDescent="0.3">
      <c r="A1424" s="8" t="s">
        <v>21</v>
      </c>
      <c r="B1424" s="11">
        <v>900</v>
      </c>
      <c r="C1424" s="11" t="s">
        <v>5</v>
      </c>
      <c r="D1424" s="11">
        <v>6</v>
      </c>
      <c r="E1424" s="22">
        <v>228.1</v>
      </c>
      <c r="F1424" s="11" t="s">
        <v>18</v>
      </c>
      <c r="G1424" s="11" t="s">
        <v>15</v>
      </c>
      <c r="H1424" s="12">
        <v>46630</v>
      </c>
      <c r="I1424" s="12"/>
      <c r="J1424" s="13"/>
      <c r="K1424" t="str">
        <f t="shared" si="22"/>
        <v>DE900-SDR26</v>
      </c>
      <c r="L1424" s="1">
        <f>VLOOKUP(K1424,'[1]Tarif - Evolution Marché'!$F:$M,8,0)</f>
        <v>228.10047257383962</v>
      </c>
    </row>
    <row r="1425" spans="1:12" x14ac:dyDescent="0.3">
      <c r="A1425" s="14" t="s">
        <v>21</v>
      </c>
      <c r="B1425" s="15">
        <v>1000</v>
      </c>
      <c r="C1425" s="15" t="s">
        <v>5</v>
      </c>
      <c r="D1425" s="15">
        <v>6</v>
      </c>
      <c r="E1425" s="22">
        <v>282.70999999999998</v>
      </c>
      <c r="F1425" s="15" t="s">
        <v>18</v>
      </c>
      <c r="G1425" s="15" t="s">
        <v>15</v>
      </c>
      <c r="H1425" s="17">
        <v>46630</v>
      </c>
      <c r="I1425" s="17"/>
      <c r="J1425" s="18"/>
      <c r="K1425" t="str">
        <f t="shared" si="22"/>
        <v>DE1000-SDR26</v>
      </c>
      <c r="L1425" s="1">
        <f>VLOOKUP(K1425,'[1]Tarif - Evolution Marché'!$F:$M,8,0)</f>
        <v>282.70927215189869</v>
      </c>
    </row>
    <row r="1426" spans="1:12" x14ac:dyDescent="0.3">
      <c r="A1426" s="8" t="s">
        <v>21</v>
      </c>
      <c r="B1426" s="11">
        <v>1200</v>
      </c>
      <c r="C1426" s="11" t="s">
        <v>5</v>
      </c>
      <c r="D1426" s="11">
        <v>6</v>
      </c>
      <c r="E1426" s="22">
        <v>405.94</v>
      </c>
      <c r="F1426" s="11" t="s">
        <v>18</v>
      </c>
      <c r="G1426" s="11" t="s">
        <v>15</v>
      </c>
      <c r="H1426" s="12">
        <v>46630</v>
      </c>
      <c r="I1426" s="12"/>
      <c r="J1426" s="13"/>
      <c r="K1426" t="str">
        <f t="shared" si="22"/>
        <v>DE1200-SDR26</v>
      </c>
      <c r="L1426" s="1">
        <f>VLOOKUP(K1426,'[1]Tarif - Evolution Marché'!$F:$M,8,0)</f>
        <v>405.94151898734168</v>
      </c>
    </row>
    <row r="1427" spans="1:12" x14ac:dyDescent="0.3">
      <c r="A1427" s="14" t="s">
        <v>21</v>
      </c>
      <c r="B1427" s="15">
        <v>40</v>
      </c>
      <c r="C1427" s="15" t="s">
        <v>6</v>
      </c>
      <c r="D1427" s="15">
        <v>8</v>
      </c>
      <c r="E1427" s="22">
        <v>0.61</v>
      </c>
      <c r="F1427" s="15" t="s">
        <v>18</v>
      </c>
      <c r="G1427" s="15" t="s">
        <v>15</v>
      </c>
      <c r="H1427" s="17">
        <v>46630</v>
      </c>
      <c r="I1427" s="17"/>
      <c r="J1427" s="18"/>
      <c r="K1427" t="str">
        <f t="shared" si="22"/>
        <v>DE40-SDR21</v>
      </c>
      <c r="L1427" s="1">
        <f>VLOOKUP(K1427,'[1]Tarif - Evolution Marché'!$F:$M,8,0)</f>
        <v>0.60649595991561167</v>
      </c>
    </row>
    <row r="1428" spans="1:12" x14ac:dyDescent="0.3">
      <c r="A1428" s="8" t="s">
        <v>21</v>
      </c>
      <c r="B1428" s="11">
        <v>50</v>
      </c>
      <c r="C1428" s="11" t="s">
        <v>6</v>
      </c>
      <c r="D1428" s="11">
        <v>8</v>
      </c>
      <c r="E1428" s="22">
        <v>0.91</v>
      </c>
      <c r="F1428" s="11" t="s">
        <v>18</v>
      </c>
      <c r="G1428" s="11" t="s">
        <v>15</v>
      </c>
      <c r="H1428" s="12">
        <v>46630</v>
      </c>
      <c r="I1428" s="12"/>
      <c r="J1428" s="13"/>
      <c r="K1428" t="str">
        <f t="shared" si="22"/>
        <v>DE50-SDR21</v>
      </c>
      <c r="L1428" s="1">
        <f>VLOOKUP(K1428,'[1]Tarif - Evolution Marché'!$F:$M,8,0)</f>
        <v>0.91336841772151878</v>
      </c>
    </row>
    <row r="1429" spans="1:12" x14ac:dyDescent="0.3">
      <c r="A1429" s="14" t="s">
        <v>21</v>
      </c>
      <c r="B1429" s="15">
        <v>63</v>
      </c>
      <c r="C1429" s="15" t="s">
        <v>6</v>
      </c>
      <c r="D1429" s="15">
        <v>8</v>
      </c>
      <c r="E1429" s="22">
        <v>1.42</v>
      </c>
      <c r="F1429" s="15" t="s">
        <v>18</v>
      </c>
      <c r="G1429" s="15" t="s">
        <v>15</v>
      </c>
      <c r="H1429" s="17">
        <v>46630</v>
      </c>
      <c r="I1429" s="17"/>
      <c r="J1429" s="18"/>
      <c r="K1429" t="str">
        <f t="shared" si="22"/>
        <v>DE63-SDR21</v>
      </c>
      <c r="L1429" s="1">
        <f>VLOOKUP(K1429,'[1]Tarif - Evolution Marché'!$F:$M,8,0)</f>
        <v>1.4159626793248943</v>
      </c>
    </row>
    <row r="1430" spans="1:12" x14ac:dyDescent="0.3">
      <c r="A1430" s="8" t="s">
        <v>21</v>
      </c>
      <c r="B1430" s="11">
        <v>75</v>
      </c>
      <c r="C1430" s="11" t="s">
        <v>6</v>
      </c>
      <c r="D1430" s="11">
        <v>8</v>
      </c>
      <c r="E1430" s="22">
        <v>2.02</v>
      </c>
      <c r="F1430" s="11" t="s">
        <v>18</v>
      </c>
      <c r="G1430" s="11" t="s">
        <v>15</v>
      </c>
      <c r="H1430" s="12">
        <v>46630</v>
      </c>
      <c r="I1430" s="12"/>
      <c r="J1430" s="13"/>
      <c r="K1430" t="str">
        <f t="shared" si="22"/>
        <v>DE75-SDR21</v>
      </c>
      <c r="L1430" s="1">
        <f>VLOOKUP(K1430,'[1]Tarif - Evolution Marché'!$F:$M,8,0)</f>
        <v>2.0200423206751053</v>
      </c>
    </row>
    <row r="1431" spans="1:12" x14ac:dyDescent="0.3">
      <c r="A1431" s="14" t="s">
        <v>21</v>
      </c>
      <c r="B1431" s="15">
        <v>90</v>
      </c>
      <c r="C1431" s="15" t="s">
        <v>6</v>
      </c>
      <c r="D1431" s="15">
        <v>8</v>
      </c>
      <c r="E1431" s="22">
        <v>2.9</v>
      </c>
      <c r="F1431" s="15" t="s">
        <v>18</v>
      </c>
      <c r="G1431" s="15" t="s">
        <v>15</v>
      </c>
      <c r="H1431" s="17">
        <v>46630</v>
      </c>
      <c r="I1431" s="17"/>
      <c r="J1431" s="18"/>
      <c r="K1431" t="str">
        <f t="shared" si="22"/>
        <v>DE90-SDR21</v>
      </c>
      <c r="L1431" s="1">
        <f>VLOOKUP(K1431,'[1]Tarif - Evolution Marché'!$F:$M,8,0)</f>
        <v>2.8995822784810121</v>
      </c>
    </row>
    <row r="1432" spans="1:12" x14ac:dyDescent="0.3">
      <c r="A1432" s="8" t="s">
        <v>21</v>
      </c>
      <c r="B1432" s="11">
        <v>110</v>
      </c>
      <c r="C1432" s="11" t="s">
        <v>6</v>
      </c>
      <c r="D1432" s="11">
        <v>8</v>
      </c>
      <c r="E1432" s="22">
        <v>4.33</v>
      </c>
      <c r="F1432" s="11" t="s">
        <v>18</v>
      </c>
      <c r="G1432" s="11" t="s">
        <v>15</v>
      </c>
      <c r="H1432" s="12">
        <v>46630</v>
      </c>
      <c r="I1432" s="12"/>
      <c r="J1432" s="13"/>
      <c r="K1432" t="str">
        <f t="shared" si="22"/>
        <v>DE110-SDR21</v>
      </c>
      <c r="L1432" s="1">
        <f>VLOOKUP(K1432,'[1]Tarif - Evolution Marché'!$F:$M,8,0)</f>
        <v>4.3252102320675094</v>
      </c>
    </row>
    <row r="1433" spans="1:12" x14ac:dyDescent="0.3">
      <c r="A1433" s="14" t="s">
        <v>21</v>
      </c>
      <c r="B1433" s="15">
        <v>125</v>
      </c>
      <c r="C1433" s="15" t="s">
        <v>6</v>
      </c>
      <c r="D1433" s="15">
        <v>8</v>
      </c>
      <c r="E1433" s="22">
        <v>5.53</v>
      </c>
      <c r="F1433" s="15" t="s">
        <v>18</v>
      </c>
      <c r="G1433" s="15" t="s">
        <v>15</v>
      </c>
      <c r="H1433" s="17">
        <v>46630</v>
      </c>
      <c r="I1433" s="17"/>
      <c r="J1433" s="18"/>
      <c r="K1433" t="str">
        <f t="shared" si="22"/>
        <v>DE125-SDR21</v>
      </c>
      <c r="L1433" s="1">
        <f>VLOOKUP(K1433,'[1]Tarif - Evolution Marché'!$F:$M,8,0)</f>
        <v>5.5333695147679318</v>
      </c>
    </row>
    <row r="1434" spans="1:12" x14ac:dyDescent="0.3">
      <c r="A1434" s="8" t="s">
        <v>21</v>
      </c>
      <c r="B1434" s="11">
        <v>140</v>
      </c>
      <c r="C1434" s="11" t="s">
        <v>6</v>
      </c>
      <c r="D1434" s="11">
        <v>8</v>
      </c>
      <c r="E1434" s="22">
        <v>6.91</v>
      </c>
      <c r="F1434" s="11" t="s">
        <v>18</v>
      </c>
      <c r="G1434" s="11" t="s">
        <v>15</v>
      </c>
      <c r="H1434" s="12">
        <v>46630</v>
      </c>
      <c r="I1434" s="12"/>
      <c r="J1434" s="13"/>
      <c r="K1434" t="str">
        <f t="shared" si="22"/>
        <v>DE140-SDR21</v>
      </c>
      <c r="L1434" s="1">
        <f>VLOOKUP(K1434,'[1]Tarif - Evolution Marché'!$F:$M,8,0)</f>
        <v>6.9106710970464116</v>
      </c>
    </row>
    <row r="1435" spans="1:12" x14ac:dyDescent="0.3">
      <c r="A1435" s="14" t="s">
        <v>21</v>
      </c>
      <c r="B1435" s="15">
        <v>160</v>
      </c>
      <c r="C1435" s="15" t="s">
        <v>6</v>
      </c>
      <c r="D1435" s="15">
        <v>8</v>
      </c>
      <c r="E1435" s="22">
        <v>9.06</v>
      </c>
      <c r="F1435" s="15" t="s">
        <v>18</v>
      </c>
      <c r="G1435" s="15" t="s">
        <v>15</v>
      </c>
      <c r="H1435" s="17">
        <v>46630</v>
      </c>
      <c r="I1435" s="17"/>
      <c r="J1435" s="18"/>
      <c r="K1435" t="str">
        <f t="shared" si="22"/>
        <v>DE160-SDR21</v>
      </c>
      <c r="L1435" s="1">
        <f>VLOOKUP(K1435,'[1]Tarif - Evolution Marché'!$F:$M,8,0)</f>
        <v>9.061194620253163</v>
      </c>
    </row>
    <row r="1436" spans="1:12" x14ac:dyDescent="0.3">
      <c r="A1436" s="8" t="s">
        <v>21</v>
      </c>
      <c r="B1436" s="11">
        <v>180</v>
      </c>
      <c r="C1436" s="11" t="s">
        <v>6</v>
      </c>
      <c r="D1436" s="11">
        <v>8</v>
      </c>
      <c r="E1436" s="22">
        <v>11.38</v>
      </c>
      <c r="F1436" s="11" t="s">
        <v>18</v>
      </c>
      <c r="G1436" s="11" t="s">
        <v>15</v>
      </c>
      <c r="H1436" s="12">
        <v>46630</v>
      </c>
      <c r="I1436" s="12"/>
      <c r="J1436" s="13"/>
      <c r="K1436" t="str">
        <f t="shared" si="22"/>
        <v>DE180-SDR21</v>
      </c>
      <c r="L1436" s="1">
        <f>VLOOKUP(K1436,'[1]Tarif - Evolution Marché'!$F:$M,8,0)</f>
        <v>11.380860443037973</v>
      </c>
    </row>
    <row r="1437" spans="1:12" x14ac:dyDescent="0.3">
      <c r="A1437" s="14" t="s">
        <v>21</v>
      </c>
      <c r="B1437" s="15">
        <v>200</v>
      </c>
      <c r="C1437" s="15" t="s">
        <v>6</v>
      </c>
      <c r="D1437" s="15">
        <v>8</v>
      </c>
      <c r="E1437" s="22">
        <v>14.11</v>
      </c>
      <c r="F1437" s="15" t="s">
        <v>18</v>
      </c>
      <c r="G1437" s="15" t="s">
        <v>15</v>
      </c>
      <c r="H1437" s="17">
        <v>46630</v>
      </c>
      <c r="I1437" s="17"/>
      <c r="J1437" s="18"/>
      <c r="K1437" t="str">
        <f t="shared" si="22"/>
        <v>DE200-SDR21</v>
      </c>
      <c r="L1437" s="1">
        <f>VLOOKUP(K1437,'[1]Tarif - Evolution Marché'!$F:$M,8,0)</f>
        <v>14.111300421940925</v>
      </c>
    </row>
    <row r="1438" spans="1:12" x14ac:dyDescent="0.3">
      <c r="A1438" s="8" t="s">
        <v>21</v>
      </c>
      <c r="B1438" s="11">
        <v>225</v>
      </c>
      <c r="C1438" s="11" t="s">
        <v>6</v>
      </c>
      <c r="D1438" s="11">
        <v>8</v>
      </c>
      <c r="E1438" s="22">
        <v>17.809999999999999</v>
      </c>
      <c r="F1438" s="11" t="s">
        <v>18</v>
      </c>
      <c r="G1438" s="11" t="s">
        <v>15</v>
      </c>
      <c r="H1438" s="12">
        <v>46630</v>
      </c>
      <c r="I1438" s="12"/>
      <c r="J1438" s="13"/>
      <c r="K1438" t="str">
        <f t="shared" si="22"/>
        <v>DE225-SDR21</v>
      </c>
      <c r="L1438" s="1">
        <f>VLOOKUP(K1438,'[1]Tarif - Evolution Marché'!$F:$M,8,0)</f>
        <v>17.808267827004215</v>
      </c>
    </row>
    <row r="1439" spans="1:12" x14ac:dyDescent="0.3">
      <c r="A1439" s="14" t="s">
        <v>21</v>
      </c>
      <c r="B1439" s="15">
        <v>250</v>
      </c>
      <c r="C1439" s="15" t="s">
        <v>6</v>
      </c>
      <c r="D1439" s="15">
        <v>8</v>
      </c>
      <c r="E1439" s="22">
        <v>21.8</v>
      </c>
      <c r="F1439" s="15" t="s">
        <v>18</v>
      </c>
      <c r="G1439" s="15" t="s">
        <v>15</v>
      </c>
      <c r="H1439" s="17">
        <v>46630</v>
      </c>
      <c r="I1439" s="17"/>
      <c r="J1439" s="18"/>
      <c r="K1439" t="str">
        <f t="shared" si="22"/>
        <v>DE250-SDR21</v>
      </c>
      <c r="L1439" s="1">
        <f>VLOOKUP(K1439,'[1]Tarif - Evolution Marché'!$F:$M,8,0)</f>
        <v>21.795193459915605</v>
      </c>
    </row>
    <row r="1440" spans="1:12" x14ac:dyDescent="0.3">
      <c r="A1440" s="8" t="s">
        <v>21</v>
      </c>
      <c r="B1440" s="11">
        <v>280</v>
      </c>
      <c r="C1440" s="11" t="s">
        <v>6</v>
      </c>
      <c r="D1440" s="11">
        <v>8</v>
      </c>
      <c r="E1440" s="22">
        <v>27.55</v>
      </c>
      <c r="F1440" s="11" t="s">
        <v>18</v>
      </c>
      <c r="G1440" s="11" t="s">
        <v>15</v>
      </c>
      <c r="H1440" s="12">
        <v>46630</v>
      </c>
      <c r="I1440" s="12"/>
      <c r="J1440" s="13"/>
      <c r="K1440" t="str">
        <f t="shared" si="22"/>
        <v>DE280-SDR21</v>
      </c>
      <c r="L1440" s="1">
        <f>VLOOKUP(K1440,'[1]Tarif - Evolution Marché'!$F:$M,8,0)</f>
        <v>27.546031645569617</v>
      </c>
    </row>
    <row r="1441" spans="1:12" x14ac:dyDescent="0.3">
      <c r="A1441" s="14" t="s">
        <v>21</v>
      </c>
      <c r="B1441" s="15">
        <v>315</v>
      </c>
      <c r="C1441" s="15" t="s">
        <v>6</v>
      </c>
      <c r="D1441" s="15">
        <v>8</v>
      </c>
      <c r="E1441" s="22">
        <v>34.549999999999997</v>
      </c>
      <c r="F1441" s="15" t="s">
        <v>18</v>
      </c>
      <c r="G1441" s="15" t="s">
        <v>15</v>
      </c>
      <c r="H1441" s="17">
        <v>46630</v>
      </c>
      <c r="I1441" s="17"/>
      <c r="J1441" s="18"/>
      <c r="K1441" t="str">
        <f t="shared" si="22"/>
        <v>DE315-SDR21</v>
      </c>
      <c r="L1441" s="1">
        <f>VLOOKUP(K1441,'[1]Tarif - Evolution Marché'!$F:$M,8,0)</f>
        <v>34.553355485232061</v>
      </c>
    </row>
    <row r="1442" spans="1:12" x14ac:dyDescent="0.3">
      <c r="A1442" s="8" t="s">
        <v>21</v>
      </c>
      <c r="B1442" s="11">
        <v>355</v>
      </c>
      <c r="C1442" s="11" t="s">
        <v>6</v>
      </c>
      <c r="D1442" s="11">
        <v>8</v>
      </c>
      <c r="E1442" s="22">
        <v>43.98</v>
      </c>
      <c r="F1442" s="11" t="s">
        <v>18</v>
      </c>
      <c r="G1442" s="11" t="s">
        <v>15</v>
      </c>
      <c r="H1442" s="12">
        <v>46630</v>
      </c>
      <c r="I1442" s="12"/>
      <c r="J1442" s="13"/>
      <c r="K1442" t="str">
        <f t="shared" si="22"/>
        <v>DE355-SDR21</v>
      </c>
      <c r="L1442" s="1">
        <f>VLOOKUP(K1442,'[1]Tarif - Evolution Marché'!$F:$M,8,0)</f>
        <v>43.976997890295351</v>
      </c>
    </row>
    <row r="1443" spans="1:12" x14ac:dyDescent="0.3">
      <c r="A1443" s="14" t="s">
        <v>21</v>
      </c>
      <c r="B1443" s="15">
        <v>400</v>
      </c>
      <c r="C1443" s="15" t="s">
        <v>6</v>
      </c>
      <c r="D1443" s="15">
        <v>8</v>
      </c>
      <c r="E1443" s="22">
        <v>55.82</v>
      </c>
      <c r="F1443" s="15" t="s">
        <v>18</v>
      </c>
      <c r="G1443" s="15" t="s">
        <v>15</v>
      </c>
      <c r="H1443" s="17">
        <v>46630</v>
      </c>
      <c r="I1443" s="17"/>
      <c r="J1443" s="18"/>
      <c r="K1443" t="str">
        <f t="shared" si="22"/>
        <v>DE400-SDR21</v>
      </c>
      <c r="L1443" s="1">
        <f>VLOOKUP(K1443,'[1]Tarif - Evolution Marché'!$F:$M,8,0)</f>
        <v>55.816958860759485</v>
      </c>
    </row>
    <row r="1444" spans="1:12" x14ac:dyDescent="0.3">
      <c r="A1444" s="8" t="s">
        <v>21</v>
      </c>
      <c r="B1444" s="11">
        <v>450</v>
      </c>
      <c r="C1444" s="11" t="s">
        <v>6</v>
      </c>
      <c r="D1444" s="11">
        <v>8</v>
      </c>
      <c r="E1444" s="22">
        <v>70.8</v>
      </c>
      <c r="F1444" s="11" t="s">
        <v>18</v>
      </c>
      <c r="G1444" s="11" t="s">
        <v>15</v>
      </c>
      <c r="H1444" s="12">
        <v>46630</v>
      </c>
      <c r="I1444" s="12"/>
      <c r="J1444" s="13"/>
      <c r="K1444" t="str">
        <f t="shared" si="22"/>
        <v>DE450-SDR21</v>
      </c>
      <c r="L1444" s="1">
        <f>VLOOKUP(K1444,'[1]Tarif - Evolution Marché'!$F:$M,8,0)</f>
        <v>70.79813396624472</v>
      </c>
    </row>
    <row r="1445" spans="1:12" x14ac:dyDescent="0.3">
      <c r="A1445" s="14" t="s">
        <v>21</v>
      </c>
      <c r="B1445" s="15">
        <v>500</v>
      </c>
      <c r="C1445" s="15" t="s">
        <v>6</v>
      </c>
      <c r="D1445" s="15">
        <v>8</v>
      </c>
      <c r="E1445" s="22">
        <v>87.23</v>
      </c>
      <c r="F1445" s="15" t="s">
        <v>18</v>
      </c>
      <c r="G1445" s="15" t="s">
        <v>15</v>
      </c>
      <c r="H1445" s="17">
        <v>46630</v>
      </c>
      <c r="I1445" s="17"/>
      <c r="J1445" s="18"/>
      <c r="K1445" t="str">
        <f t="shared" si="22"/>
        <v>DE500-SDR21</v>
      </c>
      <c r="L1445" s="1">
        <f>VLOOKUP(K1445,'[1]Tarif - Evolution Marché'!$F:$M,8,0)</f>
        <v>87.229100210970458</v>
      </c>
    </row>
    <row r="1446" spans="1:12" x14ac:dyDescent="0.3">
      <c r="A1446" s="8" t="s">
        <v>21</v>
      </c>
      <c r="B1446" s="11">
        <v>560</v>
      </c>
      <c r="C1446" s="11" t="s">
        <v>6</v>
      </c>
      <c r="D1446" s="11">
        <v>8</v>
      </c>
      <c r="E1446" s="22">
        <v>109.22</v>
      </c>
      <c r="F1446" s="11" t="s">
        <v>18</v>
      </c>
      <c r="G1446" s="11" t="s">
        <v>15</v>
      </c>
      <c r="H1446" s="12">
        <v>46630</v>
      </c>
      <c r="I1446" s="12"/>
      <c r="J1446" s="13"/>
      <c r="K1446" t="str">
        <f t="shared" si="22"/>
        <v>DE560-SDR21</v>
      </c>
      <c r="L1446" s="1">
        <f>VLOOKUP(K1446,'[1]Tarif - Evolution Marché'!$F:$M,8,0)</f>
        <v>109.21759915611813</v>
      </c>
    </row>
    <row r="1447" spans="1:12" x14ac:dyDescent="0.3">
      <c r="A1447" s="14" t="s">
        <v>21</v>
      </c>
      <c r="B1447" s="15">
        <v>630</v>
      </c>
      <c r="C1447" s="15" t="s">
        <v>6</v>
      </c>
      <c r="D1447" s="15">
        <v>8</v>
      </c>
      <c r="E1447" s="22">
        <v>137.72999999999999</v>
      </c>
      <c r="F1447" s="15" t="s">
        <v>18</v>
      </c>
      <c r="G1447" s="15" t="s">
        <v>15</v>
      </c>
      <c r="H1447" s="17">
        <v>46630</v>
      </c>
      <c r="I1447" s="17"/>
      <c r="J1447" s="18"/>
      <c r="K1447" t="str">
        <f t="shared" si="22"/>
        <v>DE630-SDR21</v>
      </c>
      <c r="L1447" s="1">
        <f>VLOOKUP(K1447,'[1]Tarif - Evolution Marché'!$F:$M,8,0)</f>
        <v>137.73015822784808</v>
      </c>
    </row>
    <row r="1448" spans="1:12" x14ac:dyDescent="0.3">
      <c r="A1448" s="8" t="s">
        <v>21</v>
      </c>
      <c r="B1448" s="11">
        <v>710</v>
      </c>
      <c r="C1448" s="11" t="s">
        <v>6</v>
      </c>
      <c r="D1448" s="11">
        <v>8</v>
      </c>
      <c r="E1448" s="22">
        <v>175.42</v>
      </c>
      <c r="F1448" s="11" t="s">
        <v>18</v>
      </c>
      <c r="G1448" s="11" t="s">
        <v>15</v>
      </c>
      <c r="H1448" s="12">
        <v>46630</v>
      </c>
      <c r="I1448" s="12"/>
      <c r="J1448" s="13"/>
      <c r="K1448" t="str">
        <f t="shared" si="22"/>
        <v>DE710-SDR21</v>
      </c>
      <c r="L1448" s="1">
        <f>VLOOKUP(K1448,'[1]Tarif - Evolution Marché'!$F:$M,8,0)</f>
        <v>175.42472784810121</v>
      </c>
    </row>
    <row r="1449" spans="1:12" x14ac:dyDescent="0.3">
      <c r="A1449" s="14" t="s">
        <v>21</v>
      </c>
      <c r="B1449" s="15">
        <v>800</v>
      </c>
      <c r="C1449" s="15" t="s">
        <v>6</v>
      </c>
      <c r="D1449" s="15">
        <v>8</v>
      </c>
      <c r="E1449" s="22">
        <v>222.3</v>
      </c>
      <c r="F1449" s="15" t="s">
        <v>18</v>
      </c>
      <c r="G1449" s="15" t="s">
        <v>15</v>
      </c>
      <c r="H1449" s="17">
        <v>46630</v>
      </c>
      <c r="I1449" s="17"/>
      <c r="J1449" s="18"/>
      <c r="K1449" t="str">
        <f t="shared" si="22"/>
        <v>DE800-SDR21</v>
      </c>
      <c r="L1449" s="1">
        <f>VLOOKUP(K1449,'[1]Tarif - Evolution Marché'!$F:$M,8,0)</f>
        <v>222.30130801687758</v>
      </c>
    </row>
    <row r="1450" spans="1:12" x14ac:dyDescent="0.3">
      <c r="A1450" s="8" t="s">
        <v>21</v>
      </c>
      <c r="B1450" s="11">
        <v>900</v>
      </c>
      <c r="C1450" s="11" t="s">
        <v>6</v>
      </c>
      <c r="D1450" s="11">
        <v>8</v>
      </c>
      <c r="E1450" s="22">
        <v>280.29000000000002</v>
      </c>
      <c r="F1450" s="11" t="s">
        <v>18</v>
      </c>
      <c r="G1450" s="11" t="s">
        <v>15</v>
      </c>
      <c r="H1450" s="12">
        <v>46630</v>
      </c>
      <c r="I1450" s="12"/>
      <c r="J1450" s="13"/>
      <c r="K1450" t="str">
        <f t="shared" si="22"/>
        <v>DE900-SDR21</v>
      </c>
      <c r="L1450" s="1">
        <f>VLOOKUP(K1450,'[1]Tarif - Evolution Marché'!$F:$M,8,0)</f>
        <v>280.29295358649784</v>
      </c>
    </row>
    <row r="1451" spans="1:12" x14ac:dyDescent="0.3">
      <c r="A1451" s="14" t="s">
        <v>21</v>
      </c>
      <c r="B1451" s="15">
        <v>1000</v>
      </c>
      <c r="C1451" s="15" t="s">
        <v>6</v>
      </c>
      <c r="D1451" s="15">
        <v>8</v>
      </c>
      <c r="E1451" s="22">
        <v>347.95</v>
      </c>
      <c r="F1451" s="15" t="s">
        <v>18</v>
      </c>
      <c r="G1451" s="15" t="s">
        <v>15</v>
      </c>
      <c r="H1451" s="17">
        <v>46630</v>
      </c>
      <c r="I1451" s="17"/>
      <c r="J1451" s="18"/>
      <c r="K1451" t="str">
        <f t="shared" si="22"/>
        <v>DE1000-SDR21</v>
      </c>
      <c r="L1451" s="1">
        <f>VLOOKUP(K1451,'[1]Tarif - Evolution Marché'!$F:$M,8,0)</f>
        <v>347.94987341772145</v>
      </c>
    </row>
    <row r="1452" spans="1:12" x14ac:dyDescent="0.3">
      <c r="A1452" s="8" t="s">
        <v>21</v>
      </c>
      <c r="B1452" s="11">
        <v>1200</v>
      </c>
      <c r="C1452" s="11" t="s">
        <v>6</v>
      </c>
      <c r="D1452" s="11">
        <v>8</v>
      </c>
      <c r="E1452" s="22">
        <v>500.18</v>
      </c>
      <c r="F1452" s="11" t="s">
        <v>18</v>
      </c>
      <c r="G1452" s="11" t="s">
        <v>15</v>
      </c>
      <c r="H1452" s="12">
        <v>46630</v>
      </c>
      <c r="I1452" s="12"/>
      <c r="J1452" s="13"/>
      <c r="K1452" t="str">
        <f t="shared" si="22"/>
        <v>DE1200-SDR21</v>
      </c>
      <c r="L1452" s="1">
        <f>VLOOKUP(K1452,'[1]Tarif - Evolution Marché'!$F:$M,8,0)</f>
        <v>500.17794303797461</v>
      </c>
    </row>
    <row r="1453" spans="1:12" x14ac:dyDescent="0.3">
      <c r="A1453" s="14" t="s">
        <v>21</v>
      </c>
      <c r="B1453" s="15">
        <v>32</v>
      </c>
      <c r="C1453" s="15" t="s">
        <v>7</v>
      </c>
      <c r="D1453" s="15">
        <v>10</v>
      </c>
      <c r="E1453" s="22">
        <v>0.48</v>
      </c>
      <c r="F1453" s="15" t="s">
        <v>18</v>
      </c>
      <c r="G1453" s="15" t="s">
        <v>15</v>
      </c>
      <c r="H1453" s="17">
        <v>46630</v>
      </c>
      <c r="I1453" s="17"/>
      <c r="J1453" s="18"/>
      <c r="K1453" t="str">
        <f t="shared" si="22"/>
        <v>DE32-SDR17</v>
      </c>
      <c r="L1453" s="1">
        <f>VLOOKUP(K1453,'[1]Tarif - Evolution Marché'!$F:$M,8,0)</f>
        <v>0.47843107594936701</v>
      </c>
    </row>
    <row r="1454" spans="1:12" x14ac:dyDescent="0.3">
      <c r="A1454" s="8" t="s">
        <v>21</v>
      </c>
      <c r="B1454" s="11">
        <v>40</v>
      </c>
      <c r="C1454" s="11" t="s">
        <v>7</v>
      </c>
      <c r="D1454" s="11">
        <v>10</v>
      </c>
      <c r="E1454" s="22">
        <v>0.72</v>
      </c>
      <c r="F1454" s="11" t="s">
        <v>18</v>
      </c>
      <c r="G1454" s="11" t="s">
        <v>15</v>
      </c>
      <c r="H1454" s="12">
        <v>46630</v>
      </c>
      <c r="I1454" s="12"/>
      <c r="J1454" s="13"/>
      <c r="K1454" t="str">
        <f t="shared" si="22"/>
        <v>DE40-SDR17</v>
      </c>
      <c r="L1454" s="1">
        <f>VLOOKUP(K1454,'[1]Tarif - Evolution Marché'!$F:$M,8,0)</f>
        <v>0.72247925105485211</v>
      </c>
    </row>
    <row r="1455" spans="1:12" x14ac:dyDescent="0.3">
      <c r="A1455" s="14" t="s">
        <v>21</v>
      </c>
      <c r="B1455" s="15">
        <v>50</v>
      </c>
      <c r="C1455" s="15" t="s">
        <v>7</v>
      </c>
      <c r="D1455" s="15">
        <v>10</v>
      </c>
      <c r="E1455" s="22">
        <v>1.1100000000000001</v>
      </c>
      <c r="F1455" s="15" t="s">
        <v>18</v>
      </c>
      <c r="G1455" s="15" t="s">
        <v>15</v>
      </c>
      <c r="H1455" s="17">
        <v>46630</v>
      </c>
      <c r="I1455" s="17"/>
      <c r="J1455" s="18"/>
      <c r="K1455" t="str">
        <f t="shared" si="22"/>
        <v>DE50-SDR17</v>
      </c>
      <c r="L1455" s="1">
        <f>VLOOKUP(K1455,'[1]Tarif - Evolution Marché'!$F:$M,8,0)</f>
        <v>1.1066739029535864</v>
      </c>
    </row>
    <row r="1456" spans="1:12" x14ac:dyDescent="0.3">
      <c r="A1456" s="8" t="s">
        <v>21</v>
      </c>
      <c r="B1456" s="11">
        <v>63</v>
      </c>
      <c r="C1456" s="11" t="s">
        <v>7</v>
      </c>
      <c r="D1456" s="11">
        <v>10</v>
      </c>
      <c r="E1456" s="22">
        <v>1.76</v>
      </c>
      <c r="F1456" s="11" t="s">
        <v>18</v>
      </c>
      <c r="G1456" s="11" t="s">
        <v>15</v>
      </c>
      <c r="H1456" s="12">
        <v>46630</v>
      </c>
      <c r="I1456" s="12"/>
      <c r="J1456" s="13"/>
      <c r="K1456" t="str">
        <f t="shared" si="22"/>
        <v>DE63-SDR17</v>
      </c>
      <c r="L1456" s="1">
        <f>VLOOKUP(K1456,'[1]Tarif - Evolution Marché'!$F:$M,8,0)</f>
        <v>1.759079915611814</v>
      </c>
    </row>
    <row r="1457" spans="1:12" x14ac:dyDescent="0.3">
      <c r="A1457" s="14" t="s">
        <v>21</v>
      </c>
      <c r="B1457" s="15">
        <v>75</v>
      </c>
      <c r="C1457" s="15" t="s">
        <v>7</v>
      </c>
      <c r="D1457" s="15">
        <v>10</v>
      </c>
      <c r="E1457" s="22">
        <v>2.4900000000000002</v>
      </c>
      <c r="F1457" s="15" t="s">
        <v>18</v>
      </c>
      <c r="G1457" s="15" t="s">
        <v>15</v>
      </c>
      <c r="H1457" s="17">
        <v>46630</v>
      </c>
      <c r="I1457" s="17"/>
      <c r="J1457" s="18"/>
      <c r="K1457" t="str">
        <f t="shared" si="22"/>
        <v>DE75-SDR17</v>
      </c>
      <c r="L1457" s="1">
        <f>VLOOKUP(K1457,'[1]Tarif - Evolution Marché'!$F:$M,8,0)</f>
        <v>2.4888081223628689</v>
      </c>
    </row>
    <row r="1458" spans="1:12" x14ac:dyDescent="0.3">
      <c r="A1458" s="8" t="s">
        <v>21</v>
      </c>
      <c r="B1458" s="11">
        <v>90</v>
      </c>
      <c r="C1458" s="11" t="s">
        <v>7</v>
      </c>
      <c r="D1458" s="11">
        <v>10</v>
      </c>
      <c r="E1458" s="22">
        <v>3.55</v>
      </c>
      <c r="F1458" s="11" t="s">
        <v>18</v>
      </c>
      <c r="G1458" s="11" t="s">
        <v>15</v>
      </c>
      <c r="H1458" s="12">
        <v>46630</v>
      </c>
      <c r="I1458" s="12"/>
      <c r="J1458" s="13"/>
      <c r="K1458" t="str">
        <f t="shared" si="22"/>
        <v>DE90-SDR17</v>
      </c>
      <c r="L1458" s="1">
        <f>VLOOKUP(K1458,'[1]Tarif - Evolution Marché'!$F:$M,8,0)</f>
        <v>3.55198829113924</v>
      </c>
    </row>
    <row r="1459" spans="1:12" x14ac:dyDescent="0.3">
      <c r="A1459" s="14" t="s">
        <v>21</v>
      </c>
      <c r="B1459" s="15">
        <v>110</v>
      </c>
      <c r="C1459" s="15" t="s">
        <v>7</v>
      </c>
      <c r="D1459" s="15">
        <v>10</v>
      </c>
      <c r="E1459" s="22">
        <v>5.29</v>
      </c>
      <c r="F1459" s="15" t="s">
        <v>18</v>
      </c>
      <c r="G1459" s="15" t="s">
        <v>15</v>
      </c>
      <c r="H1459" s="17">
        <v>46630</v>
      </c>
      <c r="I1459" s="17"/>
      <c r="J1459" s="18"/>
      <c r="K1459" t="str">
        <f t="shared" si="22"/>
        <v>DE110-SDR17</v>
      </c>
      <c r="L1459" s="1">
        <f>VLOOKUP(K1459,'[1]Tarif - Evolution Marché'!$F:$M,8,0)</f>
        <v>5.2917376582278468</v>
      </c>
    </row>
    <row r="1460" spans="1:12" x14ac:dyDescent="0.3">
      <c r="A1460" s="8" t="s">
        <v>21</v>
      </c>
      <c r="B1460" s="11">
        <v>125</v>
      </c>
      <c r="C1460" s="11" t="s">
        <v>7</v>
      </c>
      <c r="D1460" s="11">
        <v>10</v>
      </c>
      <c r="E1460" s="22">
        <v>6.74</v>
      </c>
      <c r="F1460" s="11" t="s">
        <v>18</v>
      </c>
      <c r="G1460" s="11" t="s">
        <v>15</v>
      </c>
      <c r="H1460" s="12">
        <v>46630</v>
      </c>
      <c r="I1460" s="12"/>
      <c r="J1460" s="13"/>
      <c r="K1460" t="str">
        <f t="shared" si="22"/>
        <v>DE125-SDR17</v>
      </c>
      <c r="L1460" s="1">
        <f>VLOOKUP(K1460,'[1]Tarif - Evolution Marché'!$F:$M,8,0)</f>
        <v>6.7415287974683533</v>
      </c>
    </row>
    <row r="1461" spans="1:12" x14ac:dyDescent="0.3">
      <c r="A1461" s="14" t="s">
        <v>21</v>
      </c>
      <c r="B1461" s="15">
        <v>140</v>
      </c>
      <c r="C1461" s="15" t="s">
        <v>7</v>
      </c>
      <c r="D1461" s="15">
        <v>10</v>
      </c>
      <c r="E1461" s="22">
        <v>8.4600000000000009</v>
      </c>
      <c r="F1461" s="15" t="s">
        <v>18</v>
      </c>
      <c r="G1461" s="15" t="s">
        <v>15</v>
      </c>
      <c r="H1461" s="17">
        <v>46630</v>
      </c>
      <c r="I1461" s="17"/>
      <c r="J1461" s="18"/>
      <c r="K1461" t="str">
        <f t="shared" si="22"/>
        <v>DE140-SDR17</v>
      </c>
      <c r="L1461" s="1">
        <f>VLOOKUP(K1461,'[1]Tarif - Evolution Marché'!$F:$M,8,0)</f>
        <v>8.4571149789029523</v>
      </c>
    </row>
    <row r="1462" spans="1:12" x14ac:dyDescent="0.3">
      <c r="A1462" s="8" t="s">
        <v>21</v>
      </c>
      <c r="B1462" s="11">
        <v>160</v>
      </c>
      <c r="C1462" s="11" t="s">
        <v>7</v>
      </c>
      <c r="D1462" s="11">
        <v>10</v>
      </c>
      <c r="E1462" s="22">
        <v>11.04</v>
      </c>
      <c r="F1462" s="11" t="s">
        <v>18</v>
      </c>
      <c r="G1462" s="11" t="s">
        <v>15</v>
      </c>
      <c r="H1462" s="12">
        <v>46630</v>
      </c>
      <c r="I1462" s="12"/>
      <c r="J1462" s="13"/>
      <c r="K1462" t="str">
        <f t="shared" si="22"/>
        <v>DE160-SDR17</v>
      </c>
      <c r="L1462" s="1">
        <f>VLOOKUP(K1462,'[1]Tarif - Evolution Marché'!$F:$M,8,0)</f>
        <v>11.042575843881854</v>
      </c>
    </row>
    <row r="1463" spans="1:12" x14ac:dyDescent="0.3">
      <c r="A1463" s="14" t="s">
        <v>21</v>
      </c>
      <c r="B1463" s="15">
        <v>180</v>
      </c>
      <c r="C1463" s="15" t="s">
        <v>7</v>
      </c>
      <c r="D1463" s="15">
        <v>10</v>
      </c>
      <c r="E1463" s="22">
        <v>13.94</v>
      </c>
      <c r="F1463" s="15" t="s">
        <v>18</v>
      </c>
      <c r="G1463" s="15" t="s">
        <v>15</v>
      </c>
      <c r="H1463" s="17">
        <v>46630</v>
      </c>
      <c r="I1463" s="17"/>
      <c r="J1463" s="18"/>
      <c r="K1463" t="str">
        <f t="shared" si="22"/>
        <v>DE180-SDR17</v>
      </c>
      <c r="L1463" s="1">
        <f>VLOOKUP(K1463,'[1]Tarif - Evolution Marché'!$F:$M,8,0)</f>
        <v>13.942158122362866</v>
      </c>
    </row>
    <row r="1464" spans="1:12" x14ac:dyDescent="0.3">
      <c r="A1464" s="8" t="s">
        <v>21</v>
      </c>
      <c r="B1464" s="11">
        <v>200</v>
      </c>
      <c r="C1464" s="11" t="s">
        <v>7</v>
      </c>
      <c r="D1464" s="11">
        <v>10</v>
      </c>
      <c r="E1464" s="22">
        <v>17.2</v>
      </c>
      <c r="F1464" s="11" t="s">
        <v>18</v>
      </c>
      <c r="G1464" s="11" t="s">
        <v>15</v>
      </c>
      <c r="H1464" s="12">
        <v>46630</v>
      </c>
      <c r="I1464" s="12"/>
      <c r="J1464" s="13"/>
      <c r="K1464" t="str">
        <f t="shared" si="22"/>
        <v>DE200-SDR17</v>
      </c>
      <c r="L1464" s="1">
        <f>VLOOKUP(K1464,'[1]Tarif - Evolution Marché'!$F:$M,8,0)</f>
        <v>17.204188185654004</v>
      </c>
    </row>
    <row r="1465" spans="1:12" x14ac:dyDescent="0.3">
      <c r="A1465" s="14" t="s">
        <v>21</v>
      </c>
      <c r="B1465" s="15">
        <v>225</v>
      </c>
      <c r="C1465" s="15" t="s">
        <v>7</v>
      </c>
      <c r="D1465" s="15">
        <v>10</v>
      </c>
      <c r="E1465" s="22">
        <v>21.82</v>
      </c>
      <c r="F1465" s="15" t="s">
        <v>18</v>
      </c>
      <c r="G1465" s="15" t="s">
        <v>15</v>
      </c>
      <c r="H1465" s="17">
        <v>46630</v>
      </c>
      <c r="I1465" s="17"/>
      <c r="J1465" s="18"/>
      <c r="K1465" t="str">
        <f t="shared" si="22"/>
        <v>DE225-SDR17</v>
      </c>
      <c r="L1465" s="1">
        <f>VLOOKUP(K1465,'[1]Tarif - Evolution Marché'!$F:$M,8,0)</f>
        <v>21.819356645569616</v>
      </c>
    </row>
    <row r="1466" spans="1:12" x14ac:dyDescent="0.3">
      <c r="A1466" s="8" t="s">
        <v>21</v>
      </c>
      <c r="B1466" s="11">
        <v>250</v>
      </c>
      <c r="C1466" s="11" t="s">
        <v>7</v>
      </c>
      <c r="D1466" s="11">
        <v>10</v>
      </c>
      <c r="E1466" s="22">
        <v>26.82</v>
      </c>
      <c r="F1466" s="11" t="s">
        <v>18</v>
      </c>
      <c r="G1466" s="11" t="s">
        <v>15</v>
      </c>
      <c r="H1466" s="12">
        <v>46630</v>
      </c>
      <c r="I1466" s="12"/>
      <c r="J1466" s="13"/>
      <c r="K1466" t="str">
        <f t="shared" si="22"/>
        <v>DE250-SDR17</v>
      </c>
      <c r="L1466" s="1">
        <f>VLOOKUP(K1466,'[1]Tarif - Evolution Marché'!$F:$M,8,0)</f>
        <v>26.821136075949362</v>
      </c>
    </row>
    <row r="1467" spans="1:12" x14ac:dyDescent="0.3">
      <c r="A1467" s="14" t="s">
        <v>21</v>
      </c>
      <c r="B1467" s="15">
        <v>280</v>
      </c>
      <c r="C1467" s="15" t="s">
        <v>7</v>
      </c>
      <c r="D1467" s="15">
        <v>10</v>
      </c>
      <c r="E1467" s="22">
        <v>33.590000000000003</v>
      </c>
      <c r="F1467" s="15" t="s">
        <v>18</v>
      </c>
      <c r="G1467" s="15" t="s">
        <v>15</v>
      </c>
      <c r="H1467" s="17">
        <v>46630</v>
      </c>
      <c r="I1467" s="17"/>
      <c r="J1467" s="18"/>
      <c r="K1467" t="str">
        <f t="shared" si="22"/>
        <v>DE280-SDR17</v>
      </c>
      <c r="L1467" s="1">
        <f>VLOOKUP(K1467,'[1]Tarif - Evolution Marché'!$F:$M,8,0)</f>
        <v>33.586828059071728</v>
      </c>
    </row>
    <row r="1468" spans="1:12" x14ac:dyDescent="0.3">
      <c r="A1468" s="8" t="s">
        <v>21</v>
      </c>
      <c r="B1468" s="11">
        <v>315</v>
      </c>
      <c r="C1468" s="11" t="s">
        <v>7</v>
      </c>
      <c r="D1468" s="11">
        <v>10</v>
      </c>
      <c r="E1468" s="22">
        <v>42.53</v>
      </c>
      <c r="F1468" s="11" t="s">
        <v>18</v>
      </c>
      <c r="G1468" s="11" t="s">
        <v>15</v>
      </c>
      <c r="H1468" s="12">
        <v>46630</v>
      </c>
      <c r="I1468" s="12"/>
      <c r="J1468" s="13"/>
      <c r="K1468" t="str">
        <f t="shared" si="22"/>
        <v>DE315-SDR17</v>
      </c>
      <c r="L1468" s="1">
        <f>VLOOKUP(K1468,'[1]Tarif - Evolution Marché'!$F:$M,8,0)</f>
        <v>42.527206751054848</v>
      </c>
    </row>
    <row r="1469" spans="1:12" x14ac:dyDescent="0.3">
      <c r="A1469" s="14" t="s">
        <v>21</v>
      </c>
      <c r="B1469" s="15">
        <v>355</v>
      </c>
      <c r="C1469" s="15" t="s">
        <v>7</v>
      </c>
      <c r="D1469" s="15">
        <v>10</v>
      </c>
      <c r="E1469" s="22">
        <v>54.13</v>
      </c>
      <c r="F1469" s="15" t="s">
        <v>18</v>
      </c>
      <c r="G1469" s="15" t="s">
        <v>15</v>
      </c>
      <c r="H1469" s="17">
        <v>46630</v>
      </c>
      <c r="I1469" s="17"/>
      <c r="J1469" s="18"/>
      <c r="K1469" t="str">
        <f t="shared" si="22"/>
        <v>DE355-SDR17</v>
      </c>
      <c r="L1469" s="1">
        <f>VLOOKUP(K1469,'[1]Tarif - Evolution Marché'!$F:$M,8,0)</f>
        <v>54.125535864978893</v>
      </c>
    </row>
    <row r="1470" spans="1:12" x14ac:dyDescent="0.3">
      <c r="A1470" s="8" t="s">
        <v>21</v>
      </c>
      <c r="B1470" s="11">
        <v>400</v>
      </c>
      <c r="C1470" s="11" t="s">
        <v>7</v>
      </c>
      <c r="D1470" s="11">
        <v>10</v>
      </c>
      <c r="E1470" s="22">
        <v>68.38</v>
      </c>
      <c r="F1470" s="11" t="s">
        <v>18</v>
      </c>
      <c r="G1470" s="11" t="s">
        <v>15</v>
      </c>
      <c r="H1470" s="12">
        <v>46630</v>
      </c>
      <c r="I1470" s="12"/>
      <c r="J1470" s="13"/>
      <c r="K1470" t="str">
        <f t="shared" si="22"/>
        <v>DE400-SDR17</v>
      </c>
      <c r="L1470" s="1">
        <f>VLOOKUP(K1470,'[1]Tarif - Evolution Marché'!$F:$M,8,0)</f>
        <v>68.381815400843877</v>
      </c>
    </row>
    <row r="1471" spans="1:12" x14ac:dyDescent="0.3">
      <c r="A1471" s="14" t="s">
        <v>21</v>
      </c>
      <c r="B1471" s="15">
        <v>450</v>
      </c>
      <c r="C1471" s="15" t="s">
        <v>7</v>
      </c>
      <c r="D1471" s="15">
        <v>10</v>
      </c>
      <c r="E1471" s="22">
        <v>86.5</v>
      </c>
      <c r="F1471" s="15" t="s">
        <v>18</v>
      </c>
      <c r="G1471" s="15" t="s">
        <v>15</v>
      </c>
      <c r="H1471" s="17">
        <v>46630</v>
      </c>
      <c r="I1471" s="17"/>
      <c r="J1471" s="18"/>
      <c r="K1471" t="str">
        <f t="shared" si="22"/>
        <v>DE450-SDR17</v>
      </c>
      <c r="L1471" s="1">
        <f>VLOOKUP(K1471,'[1]Tarif - Evolution Marché'!$F:$M,8,0)</f>
        <v>86.504204641350185</v>
      </c>
    </row>
    <row r="1472" spans="1:12" x14ac:dyDescent="0.3">
      <c r="A1472" s="8" t="s">
        <v>21</v>
      </c>
      <c r="B1472" s="11">
        <v>500</v>
      </c>
      <c r="C1472" s="11" t="s">
        <v>7</v>
      </c>
      <c r="D1472" s="11">
        <v>10</v>
      </c>
      <c r="E1472" s="22">
        <v>106.8</v>
      </c>
      <c r="F1472" s="11" t="s">
        <v>18</v>
      </c>
      <c r="G1472" s="11" t="s">
        <v>15</v>
      </c>
      <c r="H1472" s="12">
        <v>46630</v>
      </c>
      <c r="I1472" s="12"/>
      <c r="J1472" s="13"/>
      <c r="K1472" t="str">
        <f t="shared" si="22"/>
        <v>DE500-SDR17</v>
      </c>
      <c r="L1472" s="1">
        <f>VLOOKUP(K1472,'[1]Tarif - Evolution Marché'!$F:$M,8,0)</f>
        <v>106.80128059071728</v>
      </c>
    </row>
    <row r="1473" spans="1:12" x14ac:dyDescent="0.3">
      <c r="A1473" s="14" t="s">
        <v>21</v>
      </c>
      <c r="B1473" s="15">
        <v>560</v>
      </c>
      <c r="C1473" s="15" t="s">
        <v>7</v>
      </c>
      <c r="D1473" s="15">
        <v>10</v>
      </c>
      <c r="E1473" s="22">
        <v>133.86000000000001</v>
      </c>
      <c r="F1473" s="15" t="s">
        <v>18</v>
      </c>
      <c r="G1473" s="15" t="s">
        <v>15</v>
      </c>
      <c r="H1473" s="17">
        <v>46630</v>
      </c>
      <c r="I1473" s="17"/>
      <c r="J1473" s="18"/>
      <c r="K1473" t="str">
        <f t="shared" si="22"/>
        <v>DE560-SDR17</v>
      </c>
      <c r="L1473" s="1">
        <f>VLOOKUP(K1473,'[1]Tarif - Evolution Marché'!$F:$M,8,0)</f>
        <v>133.86404852320672</v>
      </c>
    </row>
    <row r="1474" spans="1:12" x14ac:dyDescent="0.3">
      <c r="A1474" s="8" t="s">
        <v>21</v>
      </c>
      <c r="B1474" s="11">
        <v>630</v>
      </c>
      <c r="C1474" s="11" t="s">
        <v>7</v>
      </c>
      <c r="D1474" s="11">
        <v>10</v>
      </c>
      <c r="E1474" s="22">
        <v>169.63</v>
      </c>
      <c r="F1474" s="11" t="s">
        <v>18</v>
      </c>
      <c r="G1474" s="11" t="s">
        <v>15</v>
      </c>
      <c r="H1474" s="12">
        <v>46630</v>
      </c>
      <c r="I1474" s="12"/>
      <c r="J1474" s="13"/>
      <c r="K1474" t="str">
        <f t="shared" si="22"/>
        <v>DE630-SDR17</v>
      </c>
      <c r="L1474" s="1">
        <f>VLOOKUP(K1474,'[1]Tarif - Evolution Marché'!$F:$M,8,0)</f>
        <v>169.62556329113923</v>
      </c>
    </row>
    <row r="1475" spans="1:12" x14ac:dyDescent="0.3">
      <c r="A1475" s="14" t="s">
        <v>21</v>
      </c>
      <c r="B1475" s="15">
        <v>710</v>
      </c>
      <c r="C1475" s="15" t="s">
        <v>7</v>
      </c>
      <c r="D1475" s="15">
        <v>10</v>
      </c>
      <c r="E1475" s="22">
        <v>215.05</v>
      </c>
      <c r="F1475" s="15" t="s">
        <v>18</v>
      </c>
      <c r="G1475" s="15" t="s">
        <v>15</v>
      </c>
      <c r="H1475" s="17">
        <v>46630</v>
      </c>
      <c r="I1475" s="17"/>
      <c r="J1475" s="18"/>
      <c r="K1475" t="str">
        <f t="shared" ref="K1475:K1538" si="23">CONCATENATE("DE",B1475,"-",C1475)</f>
        <v>DE710-SDR17</v>
      </c>
      <c r="L1475" s="1">
        <f>VLOOKUP(K1475,'[1]Tarif - Evolution Marché'!$F:$M,8,0)</f>
        <v>215.05235232067506</v>
      </c>
    </row>
    <row r="1476" spans="1:12" x14ac:dyDescent="0.3">
      <c r="A1476" s="8" t="s">
        <v>21</v>
      </c>
      <c r="B1476" s="11">
        <v>800</v>
      </c>
      <c r="C1476" s="11" t="s">
        <v>7</v>
      </c>
      <c r="D1476" s="11">
        <v>10</v>
      </c>
      <c r="E1476" s="22">
        <v>273.04000000000002</v>
      </c>
      <c r="F1476" s="11" t="s">
        <v>18</v>
      </c>
      <c r="G1476" s="11" t="s">
        <v>15</v>
      </c>
      <c r="H1476" s="12">
        <v>46630</v>
      </c>
      <c r="I1476" s="12"/>
      <c r="J1476" s="13"/>
      <c r="K1476" t="str">
        <f t="shared" si="23"/>
        <v>DE800-SDR17</v>
      </c>
      <c r="L1476" s="1">
        <f>VLOOKUP(K1476,'[1]Tarif - Evolution Marché'!$F:$M,8,0)</f>
        <v>273.04399789029532</v>
      </c>
    </row>
    <row r="1477" spans="1:12" x14ac:dyDescent="0.3">
      <c r="A1477" s="14" t="s">
        <v>21</v>
      </c>
      <c r="B1477" s="15">
        <v>900</v>
      </c>
      <c r="C1477" s="15" t="s">
        <v>7</v>
      </c>
      <c r="D1477" s="15">
        <v>10</v>
      </c>
      <c r="E1477" s="22">
        <v>345.53</v>
      </c>
      <c r="F1477" s="15" t="s">
        <v>18</v>
      </c>
      <c r="G1477" s="15" t="s">
        <v>15</v>
      </c>
      <c r="H1477" s="17">
        <v>46630</v>
      </c>
      <c r="I1477" s="17"/>
      <c r="J1477" s="18"/>
      <c r="K1477" t="str">
        <f t="shared" si="23"/>
        <v>DE900-SDR17</v>
      </c>
      <c r="L1477" s="1">
        <f>VLOOKUP(K1477,'[1]Tarif - Evolution Marché'!$F:$M,8,0)</f>
        <v>345.53355485232061</v>
      </c>
    </row>
    <row r="1478" spans="1:12" x14ac:dyDescent="0.3">
      <c r="A1478" s="8" t="s">
        <v>21</v>
      </c>
      <c r="B1478" s="11">
        <v>1000</v>
      </c>
      <c r="C1478" s="11" t="s">
        <v>7</v>
      </c>
      <c r="D1478" s="11">
        <v>10</v>
      </c>
      <c r="E1478" s="22">
        <v>425.27</v>
      </c>
      <c r="F1478" s="11" t="s">
        <v>18</v>
      </c>
      <c r="G1478" s="11" t="s">
        <v>15</v>
      </c>
      <c r="H1478" s="12">
        <v>46630</v>
      </c>
      <c r="I1478" s="12"/>
      <c r="J1478" s="13"/>
      <c r="K1478" t="str">
        <f t="shared" si="23"/>
        <v>DE1000-SDR17</v>
      </c>
      <c r="L1478" s="1">
        <f>VLOOKUP(K1478,'[1]Tarif - Evolution Marché'!$F:$M,8,0)</f>
        <v>425.27206751054842</v>
      </c>
    </row>
    <row r="1479" spans="1:12" x14ac:dyDescent="0.3">
      <c r="A1479" s="14" t="s">
        <v>21</v>
      </c>
      <c r="B1479" s="15">
        <v>25</v>
      </c>
      <c r="C1479" s="15" t="s">
        <v>8</v>
      </c>
      <c r="D1479" s="15">
        <v>12.5</v>
      </c>
      <c r="E1479" s="22">
        <v>0.36</v>
      </c>
      <c r="F1479" s="15" t="s">
        <v>18</v>
      </c>
      <c r="G1479" s="15" t="s">
        <v>15</v>
      </c>
      <c r="H1479" s="17">
        <v>46630</v>
      </c>
      <c r="I1479" s="17"/>
      <c r="J1479" s="18"/>
      <c r="K1479" t="str">
        <f t="shared" si="23"/>
        <v>DE25-SDR13,6</v>
      </c>
      <c r="L1479" s="1">
        <f>VLOOKUP(K1479,'[1]Tarif - Evolution Marché'!$F:$M,8,0)</f>
        <v>0.36486410337552733</v>
      </c>
    </row>
    <row r="1480" spans="1:12" x14ac:dyDescent="0.3">
      <c r="A1480" s="8" t="s">
        <v>21</v>
      </c>
      <c r="B1480" s="11">
        <v>32</v>
      </c>
      <c r="C1480" s="11" t="s">
        <v>8</v>
      </c>
      <c r="D1480" s="11">
        <v>12.5</v>
      </c>
      <c r="E1480" s="22">
        <v>0.56999999999999995</v>
      </c>
      <c r="F1480" s="11" t="s">
        <v>18</v>
      </c>
      <c r="G1480" s="11" t="s">
        <v>15</v>
      </c>
      <c r="H1480" s="12">
        <v>46630</v>
      </c>
      <c r="I1480" s="12"/>
      <c r="J1480" s="13"/>
      <c r="K1480" t="str">
        <f t="shared" si="23"/>
        <v>DE32-SDR13,6</v>
      </c>
      <c r="L1480" s="1">
        <f>VLOOKUP(K1480,'[1]Tarif - Evolution Marché'!$F:$M,8,0)</f>
        <v>0.56783486286919815</v>
      </c>
    </row>
    <row r="1481" spans="1:12" x14ac:dyDescent="0.3">
      <c r="A1481" s="14" t="s">
        <v>21</v>
      </c>
      <c r="B1481" s="15">
        <v>40</v>
      </c>
      <c r="C1481" s="15" t="s">
        <v>8</v>
      </c>
      <c r="D1481" s="15">
        <v>12.5</v>
      </c>
      <c r="E1481" s="22">
        <v>0.87</v>
      </c>
      <c r="F1481" s="15" t="s">
        <v>18</v>
      </c>
      <c r="G1481" s="15" t="s">
        <v>15</v>
      </c>
      <c r="H1481" s="17">
        <v>46630</v>
      </c>
      <c r="I1481" s="17"/>
      <c r="J1481" s="18"/>
      <c r="K1481" t="str">
        <f t="shared" si="23"/>
        <v>DE40-SDR13,6</v>
      </c>
      <c r="L1481" s="1">
        <f>VLOOKUP(K1481,'[1]Tarif - Evolution Marché'!$F:$M,8,0)</f>
        <v>0.86987468354430364</v>
      </c>
    </row>
    <row r="1482" spans="1:12" x14ac:dyDescent="0.3">
      <c r="A1482" s="8" t="s">
        <v>21</v>
      </c>
      <c r="B1482" s="11">
        <v>50</v>
      </c>
      <c r="C1482" s="11" t="s">
        <v>8</v>
      </c>
      <c r="D1482" s="11">
        <v>12.5</v>
      </c>
      <c r="E1482" s="22">
        <v>1.34</v>
      </c>
      <c r="F1482" s="11" t="s">
        <v>18</v>
      </c>
      <c r="G1482" s="11" t="s">
        <v>15</v>
      </c>
      <c r="H1482" s="12">
        <v>46630</v>
      </c>
      <c r="I1482" s="12"/>
      <c r="J1482" s="13"/>
      <c r="K1482" t="str">
        <f t="shared" si="23"/>
        <v>DE50-SDR13,6</v>
      </c>
      <c r="L1482" s="1">
        <f>VLOOKUP(K1482,'[1]Tarif - Evolution Marché'!$F:$M,8,0)</f>
        <v>1.3410568037974682</v>
      </c>
    </row>
    <row r="1483" spans="1:12" x14ac:dyDescent="0.3">
      <c r="A1483" s="14" t="s">
        <v>21</v>
      </c>
      <c r="B1483" s="15">
        <v>63</v>
      </c>
      <c r="C1483" s="15" t="s">
        <v>8</v>
      </c>
      <c r="D1483" s="15">
        <v>12.5</v>
      </c>
      <c r="E1483" s="22">
        <v>2.13</v>
      </c>
      <c r="F1483" s="15" t="s">
        <v>18</v>
      </c>
      <c r="G1483" s="15" t="s">
        <v>15</v>
      </c>
      <c r="H1483" s="17">
        <v>46630</v>
      </c>
      <c r="I1483" s="17"/>
      <c r="J1483" s="18"/>
      <c r="K1483" t="str">
        <f t="shared" si="23"/>
        <v>DE63-SDR13,6</v>
      </c>
      <c r="L1483" s="1">
        <f>VLOOKUP(K1483,'[1]Tarif - Evolution Marché'!$F:$M,8,0)</f>
        <v>2.133609293248945</v>
      </c>
    </row>
    <row r="1484" spans="1:12" x14ac:dyDescent="0.3">
      <c r="A1484" s="8" t="s">
        <v>21</v>
      </c>
      <c r="B1484" s="11">
        <v>75</v>
      </c>
      <c r="C1484" s="11" t="s">
        <v>8</v>
      </c>
      <c r="D1484" s="11">
        <v>12.5</v>
      </c>
      <c r="E1484" s="22">
        <v>3.02</v>
      </c>
      <c r="F1484" s="11" t="s">
        <v>18</v>
      </c>
      <c r="G1484" s="11" t="s">
        <v>15</v>
      </c>
      <c r="H1484" s="12">
        <v>46630</v>
      </c>
      <c r="I1484" s="12"/>
      <c r="J1484" s="13"/>
      <c r="K1484" t="str">
        <f t="shared" si="23"/>
        <v>DE75-SDR13,6</v>
      </c>
      <c r="L1484" s="1">
        <f>VLOOKUP(K1484,'[1]Tarif - Evolution Marché'!$F:$M,8,0)</f>
        <v>3.0203982067510542</v>
      </c>
    </row>
    <row r="1485" spans="1:12" x14ac:dyDescent="0.3">
      <c r="A1485" s="14" t="s">
        <v>21</v>
      </c>
      <c r="B1485" s="15">
        <v>90</v>
      </c>
      <c r="C1485" s="15" t="s">
        <v>8</v>
      </c>
      <c r="D1485" s="15">
        <v>12.5</v>
      </c>
      <c r="E1485" s="22">
        <v>4.33</v>
      </c>
      <c r="F1485" s="15" t="s">
        <v>18</v>
      </c>
      <c r="G1485" s="15" t="s">
        <v>15</v>
      </c>
      <c r="H1485" s="17">
        <v>46630</v>
      </c>
      <c r="I1485" s="17"/>
      <c r="J1485" s="18"/>
      <c r="K1485" t="str">
        <f t="shared" si="23"/>
        <v>DE90-SDR13,6</v>
      </c>
      <c r="L1485" s="1">
        <f>VLOOKUP(K1485,'[1]Tarif - Evolution Marché'!$F:$M,8,0)</f>
        <v>4.3252102320675094</v>
      </c>
    </row>
    <row r="1486" spans="1:12" x14ac:dyDescent="0.3">
      <c r="A1486" s="8" t="s">
        <v>21</v>
      </c>
      <c r="B1486" s="11">
        <v>110</v>
      </c>
      <c r="C1486" s="11" t="s">
        <v>8</v>
      </c>
      <c r="D1486" s="11">
        <v>12.5</v>
      </c>
      <c r="E1486" s="22">
        <v>6.38</v>
      </c>
      <c r="F1486" s="11" t="s">
        <v>18</v>
      </c>
      <c r="G1486" s="11" t="s">
        <v>15</v>
      </c>
      <c r="H1486" s="12">
        <v>46630</v>
      </c>
      <c r="I1486" s="12"/>
      <c r="J1486" s="13"/>
      <c r="K1486" t="str">
        <f t="shared" si="23"/>
        <v>DE110-SDR13,6</v>
      </c>
      <c r="L1486" s="1">
        <f>VLOOKUP(K1486,'[1]Tarif - Evolution Marché'!$F:$M,8,0)</f>
        <v>6.3790810126582267</v>
      </c>
    </row>
    <row r="1487" spans="1:12" x14ac:dyDescent="0.3">
      <c r="A1487" s="14" t="s">
        <v>21</v>
      </c>
      <c r="B1487" s="15">
        <v>125</v>
      </c>
      <c r="C1487" s="15" t="s">
        <v>8</v>
      </c>
      <c r="D1487" s="15">
        <v>12.5</v>
      </c>
      <c r="E1487" s="22">
        <v>8.2200000000000006</v>
      </c>
      <c r="F1487" s="15" t="s">
        <v>18</v>
      </c>
      <c r="G1487" s="15" t="s">
        <v>15</v>
      </c>
      <c r="H1487" s="17">
        <v>46630</v>
      </c>
      <c r="I1487" s="17"/>
      <c r="J1487" s="18"/>
      <c r="K1487" t="str">
        <f t="shared" si="23"/>
        <v>DE125-SDR13,6</v>
      </c>
      <c r="L1487" s="1">
        <f>VLOOKUP(K1487,'[1]Tarif - Evolution Marché'!$F:$M,8,0)</f>
        <v>8.2154831223628673</v>
      </c>
    </row>
    <row r="1488" spans="1:12" x14ac:dyDescent="0.3">
      <c r="A1488" s="8" t="s">
        <v>21</v>
      </c>
      <c r="B1488" s="11">
        <v>140</v>
      </c>
      <c r="C1488" s="11" t="s">
        <v>8</v>
      </c>
      <c r="D1488" s="11">
        <v>12.5</v>
      </c>
      <c r="E1488" s="22">
        <v>10.29</v>
      </c>
      <c r="F1488" s="11" t="s">
        <v>18</v>
      </c>
      <c r="G1488" s="11" t="s">
        <v>15</v>
      </c>
      <c r="H1488" s="12">
        <v>46630</v>
      </c>
      <c r="I1488" s="12"/>
      <c r="J1488" s="13"/>
      <c r="K1488" t="str">
        <f t="shared" si="23"/>
        <v>DE140-SDR13,6</v>
      </c>
      <c r="L1488" s="1">
        <f>VLOOKUP(K1488,'[1]Tarif - Evolution Marché'!$F:$M,8,0)</f>
        <v>10.293517088607592</v>
      </c>
    </row>
    <row r="1489" spans="1:12" x14ac:dyDescent="0.3">
      <c r="A1489" s="14" t="s">
        <v>21</v>
      </c>
      <c r="B1489" s="15">
        <v>160</v>
      </c>
      <c r="C1489" s="15" t="s">
        <v>8</v>
      </c>
      <c r="D1489" s="15">
        <v>12.5</v>
      </c>
      <c r="E1489" s="22">
        <v>13.43</v>
      </c>
      <c r="F1489" s="15" t="s">
        <v>18</v>
      </c>
      <c r="G1489" s="15" t="s">
        <v>15</v>
      </c>
      <c r="H1489" s="17">
        <v>46630</v>
      </c>
      <c r="I1489" s="17"/>
      <c r="J1489" s="18"/>
      <c r="K1489" t="str">
        <f t="shared" si="23"/>
        <v>DE160-SDR13,6</v>
      </c>
      <c r="L1489" s="1">
        <f>VLOOKUP(K1489,'[1]Tarif - Evolution Marché'!$F:$M,8,0)</f>
        <v>13.434731223628688</v>
      </c>
    </row>
    <row r="1490" spans="1:12" x14ac:dyDescent="0.3">
      <c r="A1490" s="8" t="s">
        <v>21</v>
      </c>
      <c r="B1490" s="11">
        <v>180</v>
      </c>
      <c r="C1490" s="11" t="s">
        <v>8</v>
      </c>
      <c r="D1490" s="11">
        <v>12.5</v>
      </c>
      <c r="E1490" s="22">
        <v>17.04</v>
      </c>
      <c r="F1490" s="11" t="s">
        <v>18</v>
      </c>
      <c r="G1490" s="11" t="s">
        <v>15</v>
      </c>
      <c r="H1490" s="12">
        <v>46630</v>
      </c>
      <c r="I1490" s="12"/>
      <c r="J1490" s="13"/>
      <c r="K1490" t="str">
        <f t="shared" si="23"/>
        <v>DE180-SDR13,6</v>
      </c>
      <c r="L1490" s="1">
        <f>VLOOKUP(K1490,'[1]Tarif - Evolution Marché'!$F:$M,8,0)</f>
        <v>17.035045886075945</v>
      </c>
    </row>
    <row r="1491" spans="1:12" x14ac:dyDescent="0.3">
      <c r="A1491" s="14" t="s">
        <v>21</v>
      </c>
      <c r="B1491" s="15">
        <v>200</v>
      </c>
      <c r="C1491" s="15" t="s">
        <v>8</v>
      </c>
      <c r="D1491" s="15">
        <v>12.5</v>
      </c>
      <c r="E1491" s="22">
        <v>20.9</v>
      </c>
      <c r="F1491" s="15" t="s">
        <v>18</v>
      </c>
      <c r="G1491" s="15" t="s">
        <v>15</v>
      </c>
      <c r="H1491" s="17">
        <v>46630</v>
      </c>
      <c r="I1491" s="17"/>
      <c r="J1491" s="18"/>
      <c r="K1491" t="str">
        <f t="shared" si="23"/>
        <v>DE200-SDR13,6</v>
      </c>
      <c r="L1491" s="1">
        <f>VLOOKUP(K1491,'[1]Tarif - Evolution Marché'!$F:$M,8,0)</f>
        <v>20.901155590717298</v>
      </c>
    </row>
    <row r="1492" spans="1:12" x14ac:dyDescent="0.3">
      <c r="A1492" s="8" t="s">
        <v>21</v>
      </c>
      <c r="B1492" s="11">
        <v>225</v>
      </c>
      <c r="C1492" s="11" t="s">
        <v>8</v>
      </c>
      <c r="D1492" s="11">
        <v>12.5</v>
      </c>
      <c r="E1492" s="22">
        <v>26.58</v>
      </c>
      <c r="F1492" s="11" t="s">
        <v>18</v>
      </c>
      <c r="G1492" s="11" t="s">
        <v>15</v>
      </c>
      <c r="H1492" s="12">
        <v>46630</v>
      </c>
      <c r="I1492" s="12"/>
      <c r="J1492" s="13"/>
      <c r="K1492" t="str">
        <f t="shared" si="23"/>
        <v>DE225-SDR13,6</v>
      </c>
      <c r="L1492" s="1">
        <f>VLOOKUP(K1492,'[1]Tarif - Evolution Marché'!$F:$M,8,0)</f>
        <v>26.579504219409277</v>
      </c>
    </row>
    <row r="1493" spans="1:12" x14ac:dyDescent="0.3">
      <c r="A1493" s="14" t="s">
        <v>21</v>
      </c>
      <c r="B1493" s="15">
        <v>250</v>
      </c>
      <c r="C1493" s="15" t="s">
        <v>8</v>
      </c>
      <c r="D1493" s="15">
        <v>12.5</v>
      </c>
      <c r="E1493" s="22">
        <v>32.619999999999997</v>
      </c>
      <c r="F1493" s="15" t="s">
        <v>18</v>
      </c>
      <c r="G1493" s="15" t="s">
        <v>15</v>
      </c>
      <c r="H1493" s="17">
        <v>46630</v>
      </c>
      <c r="I1493" s="17"/>
      <c r="J1493" s="18"/>
      <c r="K1493" t="str">
        <f t="shared" si="23"/>
        <v>DE250-SDR13,6</v>
      </c>
      <c r="L1493" s="1">
        <f>VLOOKUP(K1493,'[1]Tarif - Evolution Marché'!$F:$M,8,0)</f>
        <v>32.620300632911388</v>
      </c>
    </row>
    <row r="1494" spans="1:12" x14ac:dyDescent="0.3">
      <c r="A1494" s="8" t="s">
        <v>21</v>
      </c>
      <c r="B1494" s="11">
        <v>280</v>
      </c>
      <c r="C1494" s="11" t="s">
        <v>8</v>
      </c>
      <c r="D1494" s="11">
        <v>12.5</v>
      </c>
      <c r="E1494" s="22">
        <v>40.840000000000003</v>
      </c>
      <c r="F1494" s="11" t="s">
        <v>18</v>
      </c>
      <c r="G1494" s="11" t="s">
        <v>15</v>
      </c>
      <c r="H1494" s="12">
        <v>46630</v>
      </c>
      <c r="I1494" s="12"/>
      <c r="J1494" s="13"/>
      <c r="K1494" t="str">
        <f t="shared" si="23"/>
        <v>DE280-SDR13,6</v>
      </c>
      <c r="L1494" s="1">
        <f>VLOOKUP(K1494,'[1]Tarif - Evolution Marché'!$F:$M,8,0)</f>
        <v>40.83578375527425</v>
      </c>
    </row>
    <row r="1495" spans="1:12" x14ac:dyDescent="0.3">
      <c r="A1495" s="14" t="s">
        <v>21</v>
      </c>
      <c r="B1495" s="15">
        <v>315</v>
      </c>
      <c r="C1495" s="15" t="s">
        <v>8</v>
      </c>
      <c r="D1495" s="15">
        <v>12.5</v>
      </c>
      <c r="E1495" s="22">
        <v>51.95</v>
      </c>
      <c r="F1495" s="15" t="s">
        <v>18</v>
      </c>
      <c r="G1495" s="15" t="s">
        <v>15</v>
      </c>
      <c r="H1495" s="17">
        <v>46630</v>
      </c>
      <c r="I1495" s="17"/>
      <c r="J1495" s="18"/>
      <c r="K1495" t="str">
        <f t="shared" si="23"/>
        <v>DE315-SDR13,6</v>
      </c>
      <c r="L1495" s="1">
        <f>VLOOKUP(K1495,'[1]Tarif - Evolution Marché'!$F:$M,8,0)</f>
        <v>51.950849156118132</v>
      </c>
    </row>
    <row r="1496" spans="1:12" x14ac:dyDescent="0.3">
      <c r="A1496" s="8" t="s">
        <v>21</v>
      </c>
      <c r="B1496" s="11">
        <v>355</v>
      </c>
      <c r="C1496" s="11" t="s">
        <v>8</v>
      </c>
      <c r="D1496" s="11">
        <v>12.5</v>
      </c>
      <c r="E1496" s="22">
        <v>65.72</v>
      </c>
      <c r="F1496" s="11" t="s">
        <v>18</v>
      </c>
      <c r="G1496" s="11" t="s">
        <v>15</v>
      </c>
      <c r="H1496" s="12">
        <v>46630</v>
      </c>
      <c r="I1496" s="12"/>
      <c r="J1496" s="13"/>
      <c r="K1496" t="str">
        <f t="shared" si="23"/>
        <v>DE355-SDR13,6</v>
      </c>
      <c r="L1496" s="1">
        <f>VLOOKUP(K1496,'[1]Tarif - Evolution Marché'!$F:$M,8,0)</f>
        <v>65.723864978902938</v>
      </c>
    </row>
    <row r="1497" spans="1:12" x14ac:dyDescent="0.3">
      <c r="A1497" s="14" t="s">
        <v>21</v>
      </c>
      <c r="B1497" s="15">
        <v>400</v>
      </c>
      <c r="C1497" s="15" t="s">
        <v>8</v>
      </c>
      <c r="D1497" s="15">
        <v>12.5</v>
      </c>
      <c r="E1497" s="22">
        <v>83.36</v>
      </c>
      <c r="F1497" s="15" t="s">
        <v>18</v>
      </c>
      <c r="G1497" s="15" t="s">
        <v>15</v>
      </c>
      <c r="H1497" s="17">
        <v>46630</v>
      </c>
      <c r="I1497" s="17"/>
      <c r="J1497" s="18"/>
      <c r="K1497" t="str">
        <f t="shared" si="23"/>
        <v>DE400-SDR13,6</v>
      </c>
      <c r="L1497" s="1">
        <f>VLOOKUP(K1497,'[1]Tarif - Evolution Marché'!$F:$M,8,0)</f>
        <v>83.362990506329098</v>
      </c>
    </row>
    <row r="1498" spans="1:12" x14ac:dyDescent="0.3">
      <c r="A1498" s="8" t="s">
        <v>21</v>
      </c>
      <c r="B1498" s="11">
        <v>450</v>
      </c>
      <c r="C1498" s="11" t="s">
        <v>8</v>
      </c>
      <c r="D1498" s="11">
        <v>12.5</v>
      </c>
      <c r="E1498" s="22">
        <v>105.59</v>
      </c>
      <c r="F1498" s="11" t="s">
        <v>18</v>
      </c>
      <c r="G1498" s="11" t="s">
        <v>15</v>
      </c>
      <c r="H1498" s="12">
        <v>46630</v>
      </c>
      <c r="I1498" s="12"/>
      <c r="J1498" s="13"/>
      <c r="K1498" t="str">
        <f t="shared" si="23"/>
        <v>DE450-SDR13,6</v>
      </c>
      <c r="L1498" s="1">
        <f>VLOOKUP(K1498,'[1]Tarif - Evolution Marché'!$F:$M,8,0)</f>
        <v>105.59312130801686</v>
      </c>
    </row>
    <row r="1499" spans="1:12" x14ac:dyDescent="0.3">
      <c r="A1499" s="14" t="s">
        <v>21</v>
      </c>
      <c r="B1499" s="15">
        <v>500</v>
      </c>
      <c r="C1499" s="15" t="s">
        <v>8</v>
      </c>
      <c r="D1499" s="15">
        <v>12.5</v>
      </c>
      <c r="E1499" s="22">
        <v>130.24</v>
      </c>
      <c r="F1499" s="15" t="s">
        <v>18</v>
      </c>
      <c r="G1499" s="15" t="s">
        <v>15</v>
      </c>
      <c r="H1499" s="17">
        <v>46630</v>
      </c>
      <c r="I1499" s="17"/>
      <c r="J1499" s="18"/>
      <c r="K1499" t="str">
        <f t="shared" si="23"/>
        <v>DE500-SDR13,6</v>
      </c>
      <c r="L1499" s="1">
        <f>VLOOKUP(K1499,'[1]Tarif - Evolution Marché'!$F:$M,8,0)</f>
        <v>130.23957067510545</v>
      </c>
    </row>
    <row r="1500" spans="1:12" x14ac:dyDescent="0.3">
      <c r="A1500" s="8" t="s">
        <v>21</v>
      </c>
      <c r="B1500" s="11">
        <v>560</v>
      </c>
      <c r="C1500" s="11" t="s">
        <v>8</v>
      </c>
      <c r="D1500" s="11">
        <v>12.5</v>
      </c>
      <c r="E1500" s="22">
        <v>163.34</v>
      </c>
      <c r="F1500" s="11" t="s">
        <v>18</v>
      </c>
      <c r="G1500" s="11" t="s">
        <v>15</v>
      </c>
      <c r="H1500" s="12">
        <v>46630</v>
      </c>
      <c r="I1500" s="12"/>
      <c r="J1500" s="13"/>
      <c r="K1500" t="str">
        <f t="shared" si="23"/>
        <v>DE560-SDR13,6</v>
      </c>
      <c r="L1500" s="1">
        <f>VLOOKUP(K1500,'[1]Tarif - Evolution Marché'!$F:$M,8,0)</f>
        <v>163.343135021097</v>
      </c>
    </row>
    <row r="1501" spans="1:12" x14ac:dyDescent="0.3">
      <c r="A1501" s="14" t="s">
        <v>21</v>
      </c>
      <c r="B1501" s="15">
        <v>630</v>
      </c>
      <c r="C1501" s="15" t="s">
        <v>8</v>
      </c>
      <c r="D1501" s="15">
        <v>12.5</v>
      </c>
      <c r="E1501" s="22">
        <v>206.6</v>
      </c>
      <c r="F1501" s="15" t="s">
        <v>18</v>
      </c>
      <c r="G1501" s="15" t="s">
        <v>15</v>
      </c>
      <c r="H1501" s="17">
        <v>46630</v>
      </c>
      <c r="I1501" s="17"/>
      <c r="J1501" s="18"/>
      <c r="K1501" t="str">
        <f t="shared" si="23"/>
        <v>DE630-SDR13,6</v>
      </c>
      <c r="L1501" s="1">
        <f>VLOOKUP(K1501,'[1]Tarif - Evolution Marché'!$F:$M,8,0)</f>
        <v>206.5952373417721</v>
      </c>
    </row>
    <row r="1502" spans="1:12" x14ac:dyDescent="0.3">
      <c r="A1502" s="8" t="s">
        <v>21</v>
      </c>
      <c r="B1502" s="11">
        <v>710</v>
      </c>
      <c r="C1502" s="11" t="s">
        <v>8</v>
      </c>
      <c r="D1502" s="11">
        <v>12.5</v>
      </c>
      <c r="E1502" s="22">
        <v>263.38</v>
      </c>
      <c r="F1502" s="11" t="s">
        <v>18</v>
      </c>
      <c r="G1502" s="11" t="s">
        <v>15</v>
      </c>
      <c r="H1502" s="12">
        <v>46630</v>
      </c>
      <c r="I1502" s="12"/>
      <c r="J1502" s="13"/>
      <c r="K1502" t="str">
        <f t="shared" si="23"/>
        <v>DE710-SDR13,6</v>
      </c>
      <c r="L1502" s="1">
        <f>VLOOKUP(K1502,'[1]Tarif - Evolution Marché'!$F:$M,8,0)</f>
        <v>263.37872362869194</v>
      </c>
    </row>
    <row r="1503" spans="1:12" x14ac:dyDescent="0.3">
      <c r="A1503" s="14" t="s">
        <v>21</v>
      </c>
      <c r="B1503" s="15">
        <v>800</v>
      </c>
      <c r="C1503" s="15" t="s">
        <v>8</v>
      </c>
      <c r="D1503" s="15">
        <v>12.5</v>
      </c>
      <c r="E1503" s="22">
        <v>333.45</v>
      </c>
      <c r="F1503" s="15" t="s">
        <v>18</v>
      </c>
      <c r="G1503" s="15" t="s">
        <v>15</v>
      </c>
      <c r="H1503" s="17">
        <v>46630</v>
      </c>
      <c r="I1503" s="17"/>
      <c r="J1503" s="18"/>
      <c r="K1503" t="str">
        <f t="shared" si="23"/>
        <v>DE800-SDR13,6</v>
      </c>
      <c r="L1503" s="1">
        <f>VLOOKUP(K1503,'[1]Tarif - Evolution Marché'!$F:$M,8,0)</f>
        <v>333.45196202531639</v>
      </c>
    </row>
    <row r="1504" spans="1:12" x14ac:dyDescent="0.3">
      <c r="A1504" s="8" t="s">
        <v>21</v>
      </c>
      <c r="B1504" s="11">
        <v>900</v>
      </c>
      <c r="C1504" s="11" t="s">
        <v>8</v>
      </c>
      <c r="D1504" s="11">
        <v>12.5</v>
      </c>
      <c r="E1504" s="22">
        <v>420.44</v>
      </c>
      <c r="F1504" s="11" t="s">
        <v>18</v>
      </c>
      <c r="G1504" s="11" t="s">
        <v>15</v>
      </c>
      <c r="H1504" s="12">
        <v>46630</v>
      </c>
      <c r="I1504" s="12"/>
      <c r="J1504" s="13"/>
      <c r="K1504" t="str">
        <f t="shared" si="23"/>
        <v>DE900-SDR13,6</v>
      </c>
      <c r="L1504" s="1">
        <f>VLOOKUP(K1504,'[1]Tarif - Evolution Marché'!$F:$M,8,0)</f>
        <v>420.43943037974674</v>
      </c>
    </row>
    <row r="1505" spans="1:12" x14ac:dyDescent="0.3">
      <c r="A1505" s="14" t="s">
        <v>21</v>
      </c>
      <c r="B1505" s="15">
        <v>20</v>
      </c>
      <c r="C1505" s="15" t="s">
        <v>9</v>
      </c>
      <c r="D1505" s="15">
        <v>16</v>
      </c>
      <c r="E1505" s="22">
        <v>0.28999999999999998</v>
      </c>
      <c r="F1505" s="15" t="s">
        <v>18</v>
      </c>
      <c r="G1505" s="15" t="s">
        <v>15</v>
      </c>
      <c r="H1505" s="17">
        <v>46630</v>
      </c>
      <c r="I1505" s="17"/>
      <c r="J1505" s="18"/>
      <c r="K1505" t="str">
        <f t="shared" si="23"/>
        <v>DE20-SDR11</v>
      </c>
      <c r="L1505" s="1">
        <f>VLOOKUP(K1505,'[1]Tarif - Evolution Marché'!$F:$M,8,0)</f>
        <v>0.28512559071729954</v>
      </c>
    </row>
    <row r="1506" spans="1:12" x14ac:dyDescent="0.3">
      <c r="A1506" s="8" t="s">
        <v>21</v>
      </c>
      <c r="B1506" s="11">
        <v>25</v>
      </c>
      <c r="C1506" s="11" t="s">
        <v>9</v>
      </c>
      <c r="D1506" s="11">
        <v>16</v>
      </c>
      <c r="E1506" s="22">
        <v>0.42</v>
      </c>
      <c r="F1506" s="11" t="s">
        <v>18</v>
      </c>
      <c r="G1506" s="11" t="s">
        <v>15</v>
      </c>
      <c r="H1506" s="12">
        <v>46630</v>
      </c>
      <c r="I1506" s="12"/>
      <c r="J1506" s="13"/>
      <c r="K1506" t="str">
        <f t="shared" si="23"/>
        <v>DE25-SDR11</v>
      </c>
      <c r="L1506" s="1">
        <f>VLOOKUP(K1506,'[1]Tarif - Evolution Marché'!$F:$M,8,0)</f>
        <v>0.41802311181434587</v>
      </c>
    </row>
    <row r="1507" spans="1:12" x14ac:dyDescent="0.3">
      <c r="A1507" s="14" t="s">
        <v>21</v>
      </c>
      <c r="B1507" s="15">
        <v>32</v>
      </c>
      <c r="C1507" s="15" t="s">
        <v>9</v>
      </c>
      <c r="D1507" s="15">
        <v>16</v>
      </c>
      <c r="E1507" s="22">
        <v>0.68</v>
      </c>
      <c r="F1507" s="15" t="s">
        <v>18</v>
      </c>
      <c r="G1507" s="15" t="s">
        <v>15</v>
      </c>
      <c r="H1507" s="17">
        <v>46630</v>
      </c>
      <c r="I1507" s="17"/>
      <c r="J1507" s="18"/>
      <c r="K1507" t="str">
        <f t="shared" si="23"/>
        <v>DE32-SDR11</v>
      </c>
      <c r="L1507" s="1">
        <f>VLOOKUP(K1507,'[1]Tarif - Evolution Marché'!$F:$M,8,0)</f>
        <v>0.68140183544303778</v>
      </c>
    </row>
    <row r="1508" spans="1:12" x14ac:dyDescent="0.3">
      <c r="A1508" s="8" t="s">
        <v>21</v>
      </c>
      <c r="B1508" s="11">
        <v>40</v>
      </c>
      <c r="C1508" s="11" t="s">
        <v>9</v>
      </c>
      <c r="D1508" s="11">
        <v>16</v>
      </c>
      <c r="E1508" s="22">
        <v>1.05</v>
      </c>
      <c r="F1508" s="11" t="s">
        <v>18</v>
      </c>
      <c r="G1508" s="11" t="s">
        <v>15</v>
      </c>
      <c r="H1508" s="12">
        <v>46630</v>
      </c>
      <c r="I1508" s="12"/>
      <c r="J1508" s="13"/>
      <c r="K1508" t="str">
        <f t="shared" si="23"/>
        <v>DE40-SDR11</v>
      </c>
      <c r="L1508" s="1">
        <f>VLOOKUP(K1508,'[1]Tarif - Evolution Marché'!$F:$M,8,0)</f>
        <v>1.048682257383966</v>
      </c>
    </row>
    <row r="1509" spans="1:12" x14ac:dyDescent="0.3">
      <c r="A1509" s="14" t="s">
        <v>21</v>
      </c>
      <c r="B1509" s="15">
        <v>50</v>
      </c>
      <c r="C1509" s="15" t="s">
        <v>9</v>
      </c>
      <c r="D1509" s="15">
        <v>16</v>
      </c>
      <c r="E1509" s="22">
        <v>1.63</v>
      </c>
      <c r="F1509" s="15" t="s">
        <v>18</v>
      </c>
      <c r="G1509" s="15" t="s">
        <v>15</v>
      </c>
      <c r="H1509" s="17">
        <v>46630</v>
      </c>
      <c r="I1509" s="17"/>
      <c r="J1509" s="18"/>
      <c r="K1509" t="str">
        <f t="shared" si="23"/>
        <v>DE50-SDR11</v>
      </c>
      <c r="L1509" s="1">
        <f>VLOOKUP(K1509,'[1]Tarif - Evolution Marché'!$F:$M,8,0)</f>
        <v>1.6261823945147678</v>
      </c>
    </row>
    <row r="1510" spans="1:12" x14ac:dyDescent="0.3">
      <c r="A1510" s="8" t="s">
        <v>21</v>
      </c>
      <c r="B1510" s="11">
        <v>63</v>
      </c>
      <c r="C1510" s="11" t="s">
        <v>9</v>
      </c>
      <c r="D1510" s="11">
        <v>16</v>
      </c>
      <c r="E1510" s="22">
        <v>2.56</v>
      </c>
      <c r="F1510" s="11" t="s">
        <v>18</v>
      </c>
      <c r="G1510" s="11" t="s">
        <v>15</v>
      </c>
      <c r="H1510" s="12">
        <v>46630</v>
      </c>
      <c r="I1510" s="12"/>
      <c r="J1510" s="13"/>
      <c r="K1510" t="str">
        <f t="shared" si="23"/>
        <v>DE63-SDR11</v>
      </c>
      <c r="L1510" s="1">
        <f>VLOOKUP(K1510,'[1]Tarif - Evolution Marché'!$F:$M,8,0)</f>
        <v>2.5612976793248943</v>
      </c>
    </row>
    <row r="1511" spans="1:12" x14ac:dyDescent="0.3">
      <c r="A1511" s="14" t="s">
        <v>21</v>
      </c>
      <c r="B1511" s="15">
        <v>75</v>
      </c>
      <c r="C1511" s="15" t="s">
        <v>9</v>
      </c>
      <c r="D1511" s="15">
        <v>16</v>
      </c>
      <c r="E1511" s="22">
        <v>3.58</v>
      </c>
      <c r="F1511" s="15" t="s">
        <v>18</v>
      </c>
      <c r="G1511" s="15" t="s">
        <v>15</v>
      </c>
      <c r="H1511" s="17">
        <v>46630</v>
      </c>
      <c r="I1511" s="17"/>
      <c r="J1511" s="18"/>
      <c r="K1511" t="str">
        <f t="shared" si="23"/>
        <v>DE75-SDR11</v>
      </c>
      <c r="L1511" s="1">
        <f>VLOOKUP(K1511,'[1]Tarif - Evolution Marché'!$F:$M,8,0)</f>
        <v>3.5761514767932483</v>
      </c>
    </row>
    <row r="1512" spans="1:12" x14ac:dyDescent="0.3">
      <c r="A1512" s="8" t="s">
        <v>21</v>
      </c>
      <c r="B1512" s="11">
        <v>90</v>
      </c>
      <c r="C1512" s="11" t="s">
        <v>9</v>
      </c>
      <c r="D1512" s="11">
        <v>16</v>
      </c>
      <c r="E1512" s="22">
        <v>5.17</v>
      </c>
      <c r="F1512" s="11" t="s">
        <v>18</v>
      </c>
      <c r="G1512" s="11" t="s">
        <v>15</v>
      </c>
      <c r="H1512" s="12">
        <v>46630</v>
      </c>
      <c r="I1512" s="12"/>
      <c r="J1512" s="13"/>
      <c r="K1512" t="str">
        <f t="shared" si="23"/>
        <v>DE90-SDR11</v>
      </c>
      <c r="L1512" s="1">
        <f>VLOOKUP(K1512,'[1]Tarif - Evolution Marché'!$F:$M,8,0)</f>
        <v>5.1709217299578052</v>
      </c>
    </row>
    <row r="1513" spans="1:12" x14ac:dyDescent="0.3">
      <c r="A1513" s="14" t="s">
        <v>21</v>
      </c>
      <c r="B1513" s="15">
        <v>110</v>
      </c>
      <c r="C1513" s="15" t="s">
        <v>9</v>
      </c>
      <c r="D1513" s="15">
        <v>16</v>
      </c>
      <c r="E1513" s="22">
        <v>7.68</v>
      </c>
      <c r="F1513" s="15" t="s">
        <v>18</v>
      </c>
      <c r="G1513" s="15" t="s">
        <v>15</v>
      </c>
      <c r="H1513" s="17">
        <v>46630</v>
      </c>
      <c r="I1513" s="17"/>
      <c r="J1513" s="18"/>
      <c r="K1513" t="str">
        <f t="shared" si="23"/>
        <v>DE110-SDR11</v>
      </c>
      <c r="L1513" s="1">
        <f>VLOOKUP(K1513,'[1]Tarif - Evolution Marché'!$F:$M,8,0)</f>
        <v>7.6838930379746824</v>
      </c>
    </row>
    <row r="1514" spans="1:12" x14ac:dyDescent="0.3">
      <c r="A1514" s="8" t="s">
        <v>21</v>
      </c>
      <c r="B1514" s="11">
        <v>125</v>
      </c>
      <c r="C1514" s="11" t="s">
        <v>9</v>
      </c>
      <c r="D1514" s="11">
        <v>16</v>
      </c>
      <c r="E1514" s="22">
        <v>9.9600000000000009</v>
      </c>
      <c r="F1514" s="11" t="s">
        <v>18</v>
      </c>
      <c r="G1514" s="11" t="s">
        <v>15</v>
      </c>
      <c r="H1514" s="12">
        <v>46630</v>
      </c>
      <c r="I1514" s="12"/>
      <c r="J1514" s="13"/>
      <c r="K1514" t="str">
        <f t="shared" si="23"/>
        <v>DE125-SDR11</v>
      </c>
      <c r="L1514" s="1">
        <f>VLOOKUP(K1514,'[1]Tarif - Evolution Marché'!$F:$M,8,0)</f>
        <v>9.9552324894514754</v>
      </c>
    </row>
    <row r="1515" spans="1:12" x14ac:dyDescent="0.3">
      <c r="A1515" s="14" t="s">
        <v>21</v>
      </c>
      <c r="B1515" s="15">
        <v>140</v>
      </c>
      <c r="C1515" s="15" t="s">
        <v>9</v>
      </c>
      <c r="D1515" s="15">
        <v>16</v>
      </c>
      <c r="E1515" s="22">
        <v>12.4</v>
      </c>
      <c r="F1515" s="15" t="s">
        <v>18</v>
      </c>
      <c r="G1515" s="15" t="s">
        <v>15</v>
      </c>
      <c r="H1515" s="17">
        <v>46630</v>
      </c>
      <c r="I1515" s="17"/>
      <c r="J1515" s="18"/>
      <c r="K1515" t="str">
        <f t="shared" si="23"/>
        <v>DE140-SDR11</v>
      </c>
      <c r="L1515" s="1">
        <f>VLOOKUP(K1515,'[1]Tarif - Evolution Marché'!$F:$M,8,0)</f>
        <v>12.395714240506326</v>
      </c>
    </row>
    <row r="1516" spans="1:12" x14ac:dyDescent="0.3">
      <c r="A1516" s="8" t="s">
        <v>21</v>
      </c>
      <c r="B1516" s="11">
        <v>160</v>
      </c>
      <c r="C1516" s="11" t="s">
        <v>9</v>
      </c>
      <c r="D1516" s="11">
        <v>16</v>
      </c>
      <c r="E1516" s="22">
        <v>16.29</v>
      </c>
      <c r="F1516" s="11" t="s">
        <v>18</v>
      </c>
      <c r="G1516" s="11" t="s">
        <v>15</v>
      </c>
      <c r="H1516" s="12">
        <v>46630</v>
      </c>
      <c r="I1516" s="12"/>
      <c r="J1516" s="13"/>
      <c r="K1516" t="str">
        <f t="shared" si="23"/>
        <v>DE160-SDR11</v>
      </c>
      <c r="L1516" s="1">
        <f>VLOOKUP(K1516,'[1]Tarif - Evolution Marché'!$F:$M,8,0)</f>
        <v>16.285987130801686</v>
      </c>
    </row>
    <row r="1517" spans="1:12" x14ac:dyDescent="0.3">
      <c r="A1517" s="14" t="s">
        <v>21</v>
      </c>
      <c r="B1517" s="15">
        <v>180</v>
      </c>
      <c r="C1517" s="15" t="s">
        <v>9</v>
      </c>
      <c r="D1517" s="15">
        <v>16</v>
      </c>
      <c r="E1517" s="22">
        <v>20.56</v>
      </c>
      <c r="F1517" s="15" t="s">
        <v>18</v>
      </c>
      <c r="G1517" s="15" t="s">
        <v>15</v>
      </c>
      <c r="H1517" s="17">
        <v>46630</v>
      </c>
      <c r="I1517" s="17"/>
      <c r="J1517" s="18"/>
      <c r="K1517" t="str">
        <f t="shared" si="23"/>
        <v>DE180-SDR11</v>
      </c>
      <c r="L1517" s="1">
        <f>VLOOKUP(K1517,'[1]Tarif - Evolution Marché'!$F:$M,8,0)</f>
        <v>20.562870991561176</v>
      </c>
    </row>
    <row r="1518" spans="1:12" x14ac:dyDescent="0.3">
      <c r="A1518" s="8" t="s">
        <v>21</v>
      </c>
      <c r="B1518" s="11">
        <v>200</v>
      </c>
      <c r="C1518" s="11" t="s">
        <v>9</v>
      </c>
      <c r="D1518" s="11">
        <v>16</v>
      </c>
      <c r="E1518" s="22">
        <v>25.37</v>
      </c>
      <c r="F1518" s="11" t="s">
        <v>18</v>
      </c>
      <c r="G1518" s="11" t="s">
        <v>15</v>
      </c>
      <c r="H1518" s="12">
        <v>46630</v>
      </c>
      <c r="I1518" s="12"/>
      <c r="J1518" s="13"/>
      <c r="K1518" t="str">
        <f t="shared" si="23"/>
        <v>DE200-SDR11</v>
      </c>
      <c r="L1518" s="1">
        <f>VLOOKUP(K1518,'[1]Tarif - Evolution Marché'!$F:$M,8,0)</f>
        <v>25.371344936708855</v>
      </c>
    </row>
    <row r="1519" spans="1:12" x14ac:dyDescent="0.3">
      <c r="A1519" s="14" t="s">
        <v>21</v>
      </c>
      <c r="B1519" s="15">
        <v>225</v>
      </c>
      <c r="C1519" s="15" t="s">
        <v>9</v>
      </c>
      <c r="D1519" s="15">
        <v>16</v>
      </c>
      <c r="E1519" s="22">
        <v>32.14</v>
      </c>
      <c r="F1519" s="15" t="s">
        <v>18</v>
      </c>
      <c r="G1519" s="15" t="s">
        <v>15</v>
      </c>
      <c r="H1519" s="17">
        <v>46630</v>
      </c>
      <c r="I1519" s="17"/>
      <c r="J1519" s="18"/>
      <c r="K1519" t="str">
        <f t="shared" si="23"/>
        <v>DE225-SDR11</v>
      </c>
      <c r="L1519" s="1">
        <f>VLOOKUP(K1519,'[1]Tarif - Evolution Marché'!$F:$M,8,0)</f>
        <v>32.137036919831218</v>
      </c>
    </row>
    <row r="1520" spans="1:12" x14ac:dyDescent="0.3">
      <c r="A1520" s="8" t="s">
        <v>21</v>
      </c>
      <c r="B1520" s="11">
        <v>250</v>
      </c>
      <c r="C1520" s="11" t="s">
        <v>9</v>
      </c>
      <c r="D1520" s="11">
        <v>16</v>
      </c>
      <c r="E1520" s="22">
        <v>39.39</v>
      </c>
      <c r="F1520" s="11" t="s">
        <v>18</v>
      </c>
      <c r="G1520" s="11" t="s">
        <v>15</v>
      </c>
      <c r="H1520" s="12">
        <v>46630</v>
      </c>
      <c r="I1520" s="12"/>
      <c r="J1520" s="13"/>
      <c r="K1520" t="str">
        <f t="shared" si="23"/>
        <v>DE250-SDR11</v>
      </c>
      <c r="L1520" s="1">
        <f>VLOOKUP(K1520,'[1]Tarif - Evolution Marché'!$F:$M,8,0)</f>
        <v>39.385992616033747</v>
      </c>
    </row>
    <row r="1521" spans="1:12" x14ac:dyDescent="0.3">
      <c r="A1521" s="14" t="s">
        <v>21</v>
      </c>
      <c r="B1521" s="15">
        <v>280</v>
      </c>
      <c r="C1521" s="15" t="s">
        <v>9</v>
      </c>
      <c r="D1521" s="15">
        <v>16</v>
      </c>
      <c r="E1521" s="22">
        <v>49.53</v>
      </c>
      <c r="F1521" s="15" t="s">
        <v>18</v>
      </c>
      <c r="G1521" s="15" t="s">
        <v>15</v>
      </c>
      <c r="H1521" s="17">
        <v>46630</v>
      </c>
      <c r="I1521" s="17"/>
      <c r="J1521" s="18"/>
      <c r="K1521" t="str">
        <f t="shared" si="23"/>
        <v>DE280-SDR11</v>
      </c>
      <c r="L1521" s="1">
        <f>VLOOKUP(K1521,'[1]Tarif - Evolution Marché'!$F:$M,8,0)</f>
        <v>49.534530590717289</v>
      </c>
    </row>
    <row r="1522" spans="1:12" x14ac:dyDescent="0.3">
      <c r="A1522" s="8" t="s">
        <v>21</v>
      </c>
      <c r="B1522" s="11">
        <v>315</v>
      </c>
      <c r="C1522" s="11" t="s">
        <v>9</v>
      </c>
      <c r="D1522" s="11">
        <v>16</v>
      </c>
      <c r="E1522" s="22">
        <v>62.58</v>
      </c>
      <c r="F1522" s="11" t="s">
        <v>18</v>
      </c>
      <c r="G1522" s="11" t="s">
        <v>15</v>
      </c>
      <c r="H1522" s="12">
        <v>46630</v>
      </c>
      <c r="I1522" s="12"/>
      <c r="J1522" s="13"/>
      <c r="K1522" t="str">
        <f t="shared" si="23"/>
        <v>DE315-SDR11</v>
      </c>
      <c r="L1522" s="1">
        <f>VLOOKUP(K1522,'[1]Tarif - Evolution Marché'!$F:$M,8,0)</f>
        <v>62.582650843881844</v>
      </c>
    </row>
    <row r="1523" spans="1:12" x14ac:dyDescent="0.3">
      <c r="A1523" s="14" t="s">
        <v>21</v>
      </c>
      <c r="B1523" s="15">
        <v>355</v>
      </c>
      <c r="C1523" s="15" t="s">
        <v>9</v>
      </c>
      <c r="D1523" s="15">
        <v>16</v>
      </c>
      <c r="E1523" s="22">
        <v>79.5</v>
      </c>
      <c r="F1523" s="15" t="s">
        <v>18</v>
      </c>
      <c r="G1523" s="15" t="s">
        <v>15</v>
      </c>
      <c r="H1523" s="17">
        <v>46630</v>
      </c>
      <c r="I1523" s="17"/>
      <c r="J1523" s="18"/>
      <c r="K1523" t="str">
        <f t="shared" si="23"/>
        <v>DE355-SDR11</v>
      </c>
      <c r="L1523" s="1">
        <f>VLOOKUP(K1523,'[1]Tarif - Evolution Marché'!$F:$M,8,0)</f>
        <v>79.496880801687752</v>
      </c>
    </row>
    <row r="1524" spans="1:12" x14ac:dyDescent="0.3">
      <c r="A1524" s="8" t="s">
        <v>21</v>
      </c>
      <c r="B1524" s="11">
        <v>400</v>
      </c>
      <c r="C1524" s="11" t="s">
        <v>9</v>
      </c>
      <c r="D1524" s="11">
        <v>16</v>
      </c>
      <c r="E1524" s="22">
        <v>100.76</v>
      </c>
      <c r="F1524" s="11" t="s">
        <v>18</v>
      </c>
      <c r="G1524" s="11" t="s">
        <v>15</v>
      </c>
      <c r="H1524" s="12">
        <v>46630</v>
      </c>
      <c r="I1524" s="12"/>
      <c r="J1524" s="13"/>
      <c r="K1524" t="str">
        <f t="shared" si="23"/>
        <v>DE400-SDR11</v>
      </c>
      <c r="L1524" s="1">
        <f>VLOOKUP(K1524,'[1]Tarif - Evolution Marché'!$F:$M,8,0)</f>
        <v>100.76048417721518</v>
      </c>
    </row>
    <row r="1525" spans="1:12" x14ac:dyDescent="0.3">
      <c r="A1525" s="14" t="s">
        <v>21</v>
      </c>
      <c r="B1525" s="15">
        <v>450</v>
      </c>
      <c r="C1525" s="15" t="s">
        <v>9</v>
      </c>
      <c r="D1525" s="15">
        <v>16</v>
      </c>
      <c r="E1525" s="22">
        <v>127.58</v>
      </c>
      <c r="F1525" s="15" t="s">
        <v>18</v>
      </c>
      <c r="G1525" s="15" t="s">
        <v>15</v>
      </c>
      <c r="H1525" s="17">
        <v>46630</v>
      </c>
      <c r="I1525" s="17"/>
      <c r="J1525" s="18"/>
      <c r="K1525" t="str">
        <f t="shared" si="23"/>
        <v>DE450-SDR11</v>
      </c>
      <c r="L1525" s="1">
        <f>VLOOKUP(K1525,'[1]Tarif - Evolution Marché'!$F:$M,8,0)</f>
        <v>127.58162025316453</v>
      </c>
    </row>
    <row r="1526" spans="1:12" x14ac:dyDescent="0.3">
      <c r="A1526" s="8" t="s">
        <v>21</v>
      </c>
      <c r="B1526" s="11">
        <v>500</v>
      </c>
      <c r="C1526" s="11" t="s">
        <v>9</v>
      </c>
      <c r="D1526" s="11">
        <v>16</v>
      </c>
      <c r="E1526" s="22">
        <v>157.54</v>
      </c>
      <c r="F1526" s="11" t="s">
        <v>18</v>
      </c>
      <c r="G1526" s="11" t="s">
        <v>15</v>
      </c>
      <c r="H1526" s="12">
        <v>46630</v>
      </c>
      <c r="I1526" s="12"/>
      <c r="J1526" s="13"/>
      <c r="K1526" t="str">
        <f t="shared" si="23"/>
        <v>DE500-SDR11</v>
      </c>
      <c r="L1526" s="1">
        <f>VLOOKUP(K1526,'[1]Tarif - Evolution Marché'!$F:$M,8,0)</f>
        <v>157.54397046413499</v>
      </c>
    </row>
    <row r="1527" spans="1:12" x14ac:dyDescent="0.3">
      <c r="A1527" s="14" t="s">
        <v>21</v>
      </c>
      <c r="B1527" s="15">
        <v>560</v>
      </c>
      <c r="C1527" s="15" t="s">
        <v>9</v>
      </c>
      <c r="D1527" s="15">
        <v>16</v>
      </c>
      <c r="E1527" s="22">
        <v>197.41</v>
      </c>
      <c r="F1527" s="15" t="s">
        <v>18</v>
      </c>
      <c r="G1527" s="15" t="s">
        <v>15</v>
      </c>
      <c r="H1527" s="17">
        <v>46630</v>
      </c>
      <c r="I1527" s="17"/>
      <c r="J1527" s="18"/>
      <c r="K1527" t="str">
        <f t="shared" si="23"/>
        <v>DE560-SDR11</v>
      </c>
      <c r="L1527" s="1">
        <f>VLOOKUP(K1527,'[1]Tarif - Evolution Marché'!$F:$M,8,0)</f>
        <v>197.41322679324892</v>
      </c>
    </row>
    <row r="1528" spans="1:12" x14ac:dyDescent="0.3">
      <c r="A1528" s="8" t="s">
        <v>21</v>
      </c>
      <c r="B1528" s="11">
        <v>630</v>
      </c>
      <c r="C1528" s="11" t="s">
        <v>9</v>
      </c>
      <c r="D1528" s="11">
        <v>16</v>
      </c>
      <c r="E1528" s="22">
        <v>248.88</v>
      </c>
      <c r="F1528" s="11" t="s">
        <v>18</v>
      </c>
      <c r="G1528" s="11" t="s">
        <v>15</v>
      </c>
      <c r="H1528" s="12">
        <v>46630</v>
      </c>
      <c r="I1528" s="12"/>
      <c r="J1528" s="13"/>
      <c r="K1528" t="str">
        <f t="shared" si="23"/>
        <v>DE630-SDR11</v>
      </c>
      <c r="L1528" s="1">
        <f>VLOOKUP(K1528,'[1]Tarif - Evolution Marché'!$F:$M,8,0)</f>
        <v>248.88081223628689</v>
      </c>
    </row>
    <row r="1529" spans="1:12" x14ac:dyDescent="0.3">
      <c r="A1529" s="14" t="s">
        <v>21</v>
      </c>
      <c r="B1529" s="15">
        <v>710</v>
      </c>
      <c r="C1529" s="15" t="s">
        <v>9</v>
      </c>
      <c r="D1529" s="15">
        <v>16</v>
      </c>
      <c r="E1529" s="22">
        <v>316.54000000000002</v>
      </c>
      <c r="F1529" s="15" t="s">
        <v>18</v>
      </c>
      <c r="G1529" s="15" t="s">
        <v>15</v>
      </c>
      <c r="H1529" s="17">
        <v>46630</v>
      </c>
      <c r="I1529" s="17"/>
      <c r="J1529" s="18"/>
      <c r="K1529" t="str">
        <f t="shared" si="23"/>
        <v>DE710-SDR11</v>
      </c>
      <c r="L1529" s="1">
        <f>VLOOKUP(K1529,'[1]Tarif - Evolution Marché'!$F:$M,8,0)</f>
        <v>316.53773206751049</v>
      </c>
    </row>
    <row r="1530" spans="1:12" x14ac:dyDescent="0.3">
      <c r="A1530" s="8" t="s">
        <v>21</v>
      </c>
      <c r="B1530" s="11">
        <v>16</v>
      </c>
      <c r="C1530" s="11" t="s">
        <v>10</v>
      </c>
      <c r="D1530" s="11">
        <v>20</v>
      </c>
      <c r="E1530" s="22">
        <v>0.22</v>
      </c>
      <c r="F1530" s="11" t="s">
        <v>18</v>
      </c>
      <c r="G1530" s="11" t="s">
        <v>15</v>
      </c>
      <c r="H1530" s="12">
        <v>46630</v>
      </c>
      <c r="I1530" s="12"/>
      <c r="J1530" s="13"/>
      <c r="K1530" t="str">
        <f t="shared" si="23"/>
        <v>DE16-SDR9</v>
      </c>
      <c r="L1530" s="1">
        <f>VLOOKUP(K1530,'[1]Tarif - Evolution Marché'!$F:$M,8,0)</f>
        <v>0.22230130801687759</v>
      </c>
    </row>
    <row r="1531" spans="1:12" x14ac:dyDescent="0.3">
      <c r="A1531" s="14" t="s">
        <v>21</v>
      </c>
      <c r="B1531" s="15">
        <v>20</v>
      </c>
      <c r="C1531" s="15" t="s">
        <v>10</v>
      </c>
      <c r="D1531" s="15">
        <v>20</v>
      </c>
      <c r="E1531" s="22">
        <v>0.32</v>
      </c>
      <c r="F1531" s="15" t="s">
        <v>18</v>
      </c>
      <c r="G1531" s="15" t="s">
        <v>15</v>
      </c>
      <c r="H1531" s="17">
        <v>46630</v>
      </c>
      <c r="I1531" s="17"/>
      <c r="J1531" s="18"/>
      <c r="K1531" t="str">
        <f t="shared" si="23"/>
        <v>DE20-SDR9</v>
      </c>
      <c r="L1531" s="1">
        <f>VLOOKUP(K1531,'[1]Tarif - Evolution Marché'!$F:$M,8,0)</f>
        <v>0.32378668776371305</v>
      </c>
    </row>
    <row r="1532" spans="1:12" x14ac:dyDescent="0.3">
      <c r="A1532" s="8" t="s">
        <v>21</v>
      </c>
      <c r="B1532" s="11">
        <v>25</v>
      </c>
      <c r="C1532" s="11" t="s">
        <v>10</v>
      </c>
      <c r="D1532" s="11">
        <v>20</v>
      </c>
      <c r="E1532" s="22">
        <v>0.49</v>
      </c>
      <c r="F1532" s="11" t="s">
        <v>18</v>
      </c>
      <c r="G1532" s="11" t="s">
        <v>15</v>
      </c>
      <c r="H1532" s="12">
        <v>46630</v>
      </c>
      <c r="I1532" s="12"/>
      <c r="J1532" s="13"/>
      <c r="K1532" t="str">
        <f t="shared" si="23"/>
        <v>DE25-SDR9</v>
      </c>
      <c r="L1532" s="1">
        <f>VLOOKUP(K1532,'[1]Tarif - Evolution Marché'!$F:$M,8,0)</f>
        <v>0.48809635021097042</v>
      </c>
    </row>
    <row r="1533" spans="1:12" x14ac:dyDescent="0.3">
      <c r="A1533" s="14" t="s">
        <v>21</v>
      </c>
      <c r="B1533" s="15">
        <v>32</v>
      </c>
      <c r="C1533" s="15" t="s">
        <v>10</v>
      </c>
      <c r="D1533" s="15">
        <v>20</v>
      </c>
      <c r="E1533" s="22">
        <v>0.8</v>
      </c>
      <c r="F1533" s="15" t="s">
        <v>18</v>
      </c>
      <c r="G1533" s="15" t="s">
        <v>15</v>
      </c>
      <c r="H1533" s="17">
        <v>46630</v>
      </c>
      <c r="I1533" s="17"/>
      <c r="J1533" s="18"/>
      <c r="K1533" t="str">
        <f t="shared" si="23"/>
        <v>DE32-SDR9</v>
      </c>
      <c r="L1533" s="1">
        <f>VLOOKUP(K1533,'[1]Tarif - Evolution Marché'!$F:$M,8,0)</f>
        <v>0.79980144514767926</v>
      </c>
    </row>
    <row r="1534" spans="1:12" x14ac:dyDescent="0.3">
      <c r="A1534" s="8" t="s">
        <v>21</v>
      </c>
      <c r="B1534" s="11">
        <v>40</v>
      </c>
      <c r="C1534" s="11" t="s">
        <v>10</v>
      </c>
      <c r="D1534" s="11">
        <v>20</v>
      </c>
      <c r="E1534" s="22">
        <v>1.24</v>
      </c>
      <c r="F1534" s="11" t="s">
        <v>18</v>
      </c>
      <c r="G1534" s="11" t="s">
        <v>15</v>
      </c>
      <c r="H1534" s="12">
        <v>46630</v>
      </c>
      <c r="I1534" s="12"/>
      <c r="J1534" s="13"/>
      <c r="K1534" t="str">
        <f t="shared" si="23"/>
        <v>DE40-SDR9</v>
      </c>
      <c r="L1534" s="1">
        <f>VLOOKUP(K1534,'[1]Tarif - Evolution Marché'!$F:$M,8,0)</f>
        <v>1.2419877426160335</v>
      </c>
    </row>
    <row r="1535" spans="1:12" x14ac:dyDescent="0.3">
      <c r="A1535" s="14" t="s">
        <v>21</v>
      </c>
      <c r="B1535" s="15">
        <v>50</v>
      </c>
      <c r="C1535" s="15" t="s">
        <v>10</v>
      </c>
      <c r="D1535" s="15">
        <v>20</v>
      </c>
      <c r="E1535" s="22">
        <v>1.92</v>
      </c>
      <c r="F1535" s="15" t="s">
        <v>18</v>
      </c>
      <c r="G1535" s="15" t="s">
        <v>15</v>
      </c>
      <c r="H1535" s="17">
        <v>46630</v>
      </c>
      <c r="I1535" s="17"/>
      <c r="J1535" s="18"/>
      <c r="K1535" t="str">
        <f t="shared" si="23"/>
        <v>DE50-SDR9</v>
      </c>
      <c r="L1535" s="1">
        <f>VLOOKUP(K1535,'[1]Tarif - Evolution Marché'!$F:$M,8,0)</f>
        <v>1.9233895780590715</v>
      </c>
    </row>
    <row r="1536" spans="1:12" x14ac:dyDescent="0.3">
      <c r="A1536" s="8" t="s">
        <v>21</v>
      </c>
      <c r="B1536" s="11">
        <v>63</v>
      </c>
      <c r="C1536" s="11" t="s">
        <v>10</v>
      </c>
      <c r="D1536" s="11">
        <v>20</v>
      </c>
      <c r="E1536" s="22">
        <v>3.07</v>
      </c>
      <c r="F1536" s="11" t="s">
        <v>18</v>
      </c>
      <c r="G1536" s="11" t="s">
        <v>15</v>
      </c>
      <c r="H1536" s="12">
        <v>46630</v>
      </c>
      <c r="I1536" s="12"/>
      <c r="J1536" s="13"/>
      <c r="K1536" t="str">
        <f t="shared" si="23"/>
        <v>DE63-SDR9</v>
      </c>
      <c r="L1536" s="1">
        <f>VLOOKUP(K1536,'[1]Tarif - Evolution Marché'!$F:$M,8,0)</f>
        <v>3.0687245780590713</v>
      </c>
    </row>
    <row r="1537" spans="1:12" x14ac:dyDescent="0.3">
      <c r="A1537" s="14" t="s">
        <v>21</v>
      </c>
      <c r="B1537" s="15">
        <v>75</v>
      </c>
      <c r="C1537" s="15" t="s">
        <v>10</v>
      </c>
      <c r="D1537" s="15">
        <v>20</v>
      </c>
      <c r="E1537" s="22">
        <v>4.3</v>
      </c>
      <c r="F1537" s="15" t="s">
        <v>18</v>
      </c>
      <c r="G1537" s="15" t="s">
        <v>15</v>
      </c>
      <c r="H1537" s="17">
        <v>46630</v>
      </c>
      <c r="I1537" s="17"/>
      <c r="J1537" s="18"/>
      <c r="K1537" t="str">
        <f t="shared" si="23"/>
        <v>DE75-SDR9</v>
      </c>
      <c r="L1537" s="1">
        <f>VLOOKUP(K1537,'[1]Tarif - Evolution Marché'!$F:$M,8,0)</f>
        <v>4.3010470464135011</v>
      </c>
    </row>
    <row r="1538" spans="1:12" x14ac:dyDescent="0.3">
      <c r="A1538" s="8" t="s">
        <v>21</v>
      </c>
      <c r="B1538" s="11">
        <v>90</v>
      </c>
      <c r="C1538" s="11" t="s">
        <v>10</v>
      </c>
      <c r="D1538" s="11">
        <v>20</v>
      </c>
      <c r="E1538" s="22">
        <v>6.21</v>
      </c>
      <c r="F1538" s="11" t="s">
        <v>18</v>
      </c>
      <c r="G1538" s="11" t="s">
        <v>15</v>
      </c>
      <c r="H1538" s="12">
        <v>46630</v>
      </c>
      <c r="I1538" s="12"/>
      <c r="J1538" s="13"/>
      <c r="K1538" t="str">
        <f t="shared" si="23"/>
        <v>DE90-SDR9</v>
      </c>
      <c r="L1538" s="1">
        <f>VLOOKUP(K1538,'[1]Tarif - Evolution Marché'!$F:$M,8,0)</f>
        <v>6.2099387130801675</v>
      </c>
    </row>
    <row r="1539" spans="1:12" x14ac:dyDescent="0.3">
      <c r="A1539" s="14" t="s">
        <v>21</v>
      </c>
      <c r="B1539" s="15">
        <v>110</v>
      </c>
      <c r="C1539" s="15" t="s">
        <v>10</v>
      </c>
      <c r="D1539" s="15">
        <v>20</v>
      </c>
      <c r="E1539" s="22">
        <v>9.23</v>
      </c>
      <c r="F1539" s="15" t="s">
        <v>18</v>
      </c>
      <c r="G1539" s="15" t="s">
        <v>15</v>
      </c>
      <c r="H1539" s="17">
        <v>46630</v>
      </c>
      <c r="I1539" s="17"/>
      <c r="J1539" s="18"/>
      <c r="K1539" t="str">
        <f t="shared" ref="K1539:K1602" si="24">CONCATENATE("DE",B1539,"-",C1539)</f>
        <v>DE110-SDR9</v>
      </c>
      <c r="L1539" s="1">
        <f>VLOOKUP(K1539,'[1]Tarif - Evolution Marché'!$F:$M,8,0)</f>
        <v>9.2303369198312222</v>
      </c>
    </row>
    <row r="1540" spans="1:12" x14ac:dyDescent="0.3">
      <c r="A1540" s="8" t="s">
        <v>21</v>
      </c>
      <c r="B1540" s="11">
        <v>125</v>
      </c>
      <c r="C1540" s="11" t="s">
        <v>10</v>
      </c>
      <c r="D1540" s="11">
        <v>20</v>
      </c>
      <c r="E1540" s="22">
        <v>11.89</v>
      </c>
      <c r="F1540" s="11" t="s">
        <v>18</v>
      </c>
      <c r="G1540" s="11" t="s">
        <v>15</v>
      </c>
      <c r="H1540" s="12">
        <v>46630</v>
      </c>
      <c r="I1540" s="12"/>
      <c r="J1540" s="13"/>
      <c r="K1540" t="str">
        <f t="shared" si="24"/>
        <v>DE125-SDR9</v>
      </c>
      <c r="L1540" s="1">
        <f>VLOOKUP(K1540,'[1]Tarif - Evolution Marché'!$F:$M,8,0)</f>
        <v>11.88828734177215</v>
      </c>
    </row>
    <row r="1541" spans="1:12" x14ac:dyDescent="0.3">
      <c r="A1541" s="14" t="s">
        <v>21</v>
      </c>
      <c r="B1541" s="15">
        <v>140</v>
      </c>
      <c r="C1541" s="15" t="s">
        <v>10</v>
      </c>
      <c r="D1541" s="15">
        <v>20</v>
      </c>
      <c r="E1541" s="22">
        <v>14.93</v>
      </c>
      <c r="F1541" s="15" t="s">
        <v>18</v>
      </c>
      <c r="G1541" s="15" t="s">
        <v>15</v>
      </c>
      <c r="H1541" s="17">
        <v>46630</v>
      </c>
      <c r="I1541" s="17"/>
      <c r="J1541" s="18"/>
      <c r="K1541" t="str">
        <f t="shared" si="24"/>
        <v>DE140-SDR9</v>
      </c>
      <c r="L1541" s="1">
        <f>VLOOKUP(K1541,'[1]Tarif - Evolution Marché'!$F:$M,8,0)</f>
        <v>14.932848734177211</v>
      </c>
    </row>
    <row r="1542" spans="1:12" x14ac:dyDescent="0.3">
      <c r="A1542" s="8" t="s">
        <v>21</v>
      </c>
      <c r="B1542" s="11">
        <v>160</v>
      </c>
      <c r="C1542" s="11" t="s">
        <v>10</v>
      </c>
      <c r="D1542" s="11">
        <v>20</v>
      </c>
      <c r="E1542" s="22">
        <v>19.43</v>
      </c>
      <c r="F1542" s="11" t="s">
        <v>18</v>
      </c>
      <c r="G1542" s="11" t="s">
        <v>15</v>
      </c>
      <c r="H1542" s="12">
        <v>46630</v>
      </c>
      <c r="I1542" s="12"/>
      <c r="J1542" s="13"/>
      <c r="K1542" t="str">
        <f t="shared" si="24"/>
        <v>DE160-SDR9</v>
      </c>
      <c r="L1542" s="1">
        <f>VLOOKUP(K1542,'[1]Tarif - Evolution Marché'!$F:$M,8,0)</f>
        <v>19.427201265822781</v>
      </c>
    </row>
    <row r="1543" spans="1:12" x14ac:dyDescent="0.3">
      <c r="A1543" s="14" t="s">
        <v>21</v>
      </c>
      <c r="B1543" s="15">
        <v>180</v>
      </c>
      <c r="C1543" s="15" t="s">
        <v>10</v>
      </c>
      <c r="D1543" s="15">
        <v>20</v>
      </c>
      <c r="E1543" s="22">
        <v>24.65</v>
      </c>
      <c r="F1543" s="15" t="s">
        <v>18</v>
      </c>
      <c r="G1543" s="15" t="s">
        <v>15</v>
      </c>
      <c r="H1543" s="17">
        <v>46630</v>
      </c>
      <c r="I1543" s="17"/>
      <c r="J1543" s="18"/>
      <c r="K1543" t="str">
        <f t="shared" si="24"/>
        <v>DE180-SDR9</v>
      </c>
      <c r="L1543" s="1">
        <f>VLOOKUP(K1543,'[1]Tarif - Evolution Marché'!$F:$M,8,0)</f>
        <v>24.6464493670886</v>
      </c>
    </row>
    <row r="1544" spans="1:12" x14ac:dyDescent="0.3">
      <c r="A1544" s="8" t="s">
        <v>21</v>
      </c>
      <c r="B1544" s="11">
        <v>200</v>
      </c>
      <c r="C1544" s="11" t="s">
        <v>10</v>
      </c>
      <c r="D1544" s="11">
        <v>20</v>
      </c>
      <c r="E1544" s="22">
        <v>30.45</v>
      </c>
      <c r="F1544" s="11" t="s">
        <v>18</v>
      </c>
      <c r="G1544" s="11" t="s">
        <v>15</v>
      </c>
      <c r="H1544" s="12">
        <v>46630</v>
      </c>
      <c r="I1544" s="12"/>
      <c r="J1544" s="13"/>
      <c r="K1544" t="str">
        <f t="shared" si="24"/>
        <v>DE200-SDR9</v>
      </c>
      <c r="L1544" s="1">
        <f>VLOOKUP(K1544,'[1]Tarif - Evolution Marché'!$F:$M,8,0)</f>
        <v>30.445613924050626</v>
      </c>
    </row>
    <row r="1545" spans="1:12" x14ac:dyDescent="0.3">
      <c r="A1545" s="14" t="s">
        <v>21</v>
      </c>
      <c r="B1545" s="15">
        <v>225</v>
      </c>
      <c r="C1545" s="15" t="s">
        <v>10</v>
      </c>
      <c r="D1545" s="15">
        <v>20</v>
      </c>
      <c r="E1545" s="22">
        <v>38.42</v>
      </c>
      <c r="F1545" s="15" t="s">
        <v>18</v>
      </c>
      <c r="G1545" s="15" t="s">
        <v>15</v>
      </c>
      <c r="H1545" s="17">
        <v>46630</v>
      </c>
      <c r="I1545" s="17"/>
      <c r="J1545" s="18"/>
      <c r="K1545" t="str">
        <f t="shared" si="24"/>
        <v>DE225-SDR9</v>
      </c>
      <c r="L1545" s="1">
        <f>VLOOKUP(K1545,'[1]Tarif - Evolution Marché'!$F:$M,8,0)</f>
        <v>38.419465189873414</v>
      </c>
    </row>
    <row r="1546" spans="1:12" x14ac:dyDescent="0.3">
      <c r="A1546" s="8" t="s">
        <v>21</v>
      </c>
      <c r="B1546" s="11">
        <v>250</v>
      </c>
      <c r="C1546" s="11" t="s">
        <v>10</v>
      </c>
      <c r="D1546" s="11">
        <v>20</v>
      </c>
      <c r="E1546" s="22">
        <v>47.36</v>
      </c>
      <c r="F1546" s="11" t="s">
        <v>18</v>
      </c>
      <c r="G1546" s="11" t="s">
        <v>15</v>
      </c>
      <c r="H1546" s="12">
        <v>46630</v>
      </c>
      <c r="I1546" s="12"/>
      <c r="J1546" s="13"/>
      <c r="K1546" t="str">
        <f t="shared" si="24"/>
        <v>DE250-SDR9</v>
      </c>
      <c r="L1546" s="1">
        <f>VLOOKUP(K1546,'[1]Tarif - Evolution Marché'!$F:$M,8,0)</f>
        <v>47.359843881856534</v>
      </c>
    </row>
    <row r="1547" spans="1:12" x14ac:dyDescent="0.3">
      <c r="A1547" s="14" t="s">
        <v>21</v>
      </c>
      <c r="B1547" s="15">
        <v>280</v>
      </c>
      <c r="C1547" s="15" t="s">
        <v>10</v>
      </c>
      <c r="D1547" s="15">
        <v>20</v>
      </c>
      <c r="E1547" s="22">
        <v>59.44</v>
      </c>
      <c r="F1547" s="15" t="s">
        <v>18</v>
      </c>
      <c r="G1547" s="15" t="s">
        <v>15</v>
      </c>
      <c r="H1547" s="17">
        <v>46630</v>
      </c>
      <c r="I1547" s="17"/>
      <c r="J1547" s="18"/>
      <c r="K1547" t="str">
        <f t="shared" si="24"/>
        <v>DE280-SDR9</v>
      </c>
      <c r="L1547" s="1">
        <f>VLOOKUP(K1547,'[1]Tarif - Evolution Marché'!$F:$M,8,0)</f>
        <v>59.441436708860749</v>
      </c>
    </row>
    <row r="1548" spans="1:12" x14ac:dyDescent="0.3">
      <c r="A1548" s="8" t="s">
        <v>21</v>
      </c>
      <c r="B1548" s="11">
        <v>315</v>
      </c>
      <c r="C1548" s="11" t="s">
        <v>10</v>
      </c>
      <c r="D1548" s="11">
        <v>20</v>
      </c>
      <c r="E1548" s="22">
        <v>75.150000000000006</v>
      </c>
      <c r="F1548" s="11" t="s">
        <v>18</v>
      </c>
      <c r="G1548" s="11" t="s">
        <v>15</v>
      </c>
      <c r="H1548" s="12">
        <v>46630</v>
      </c>
      <c r="I1548" s="12"/>
      <c r="J1548" s="13"/>
      <c r="K1548" t="str">
        <f t="shared" si="24"/>
        <v>DE315-SDR9</v>
      </c>
      <c r="L1548" s="1">
        <f>VLOOKUP(K1548,'[1]Tarif - Evolution Marché'!$F:$M,8,0)</f>
        <v>75.147507383966229</v>
      </c>
    </row>
    <row r="1549" spans="1:12" x14ac:dyDescent="0.3">
      <c r="A1549" s="14" t="s">
        <v>21</v>
      </c>
      <c r="B1549" s="15">
        <v>355</v>
      </c>
      <c r="C1549" s="15" t="s">
        <v>10</v>
      </c>
      <c r="D1549" s="15">
        <v>20</v>
      </c>
      <c r="E1549" s="22">
        <v>95.44</v>
      </c>
      <c r="F1549" s="15" t="s">
        <v>18</v>
      </c>
      <c r="G1549" s="15" t="s">
        <v>15</v>
      </c>
      <c r="H1549" s="17">
        <v>46630</v>
      </c>
      <c r="I1549" s="17"/>
      <c r="J1549" s="18"/>
      <c r="K1549" t="str">
        <f t="shared" si="24"/>
        <v>DE355-SDR9</v>
      </c>
      <c r="L1549" s="1">
        <f>VLOOKUP(K1549,'[1]Tarif - Evolution Marché'!$F:$M,8,0)</f>
        <v>95.444583333333313</v>
      </c>
    </row>
    <row r="1550" spans="1:12" x14ac:dyDescent="0.3">
      <c r="A1550" s="8" t="s">
        <v>21</v>
      </c>
      <c r="B1550" s="11">
        <v>400</v>
      </c>
      <c r="C1550" s="11" t="s">
        <v>10</v>
      </c>
      <c r="D1550" s="11">
        <v>20</v>
      </c>
      <c r="E1550" s="22">
        <v>121.06</v>
      </c>
      <c r="F1550" s="11" t="s">
        <v>18</v>
      </c>
      <c r="G1550" s="11" t="s">
        <v>15</v>
      </c>
      <c r="H1550" s="12">
        <v>46630</v>
      </c>
      <c r="I1550" s="12"/>
      <c r="J1550" s="13"/>
      <c r="K1550" t="str">
        <f t="shared" si="24"/>
        <v>DE400-SDR9</v>
      </c>
      <c r="L1550" s="1">
        <f>VLOOKUP(K1550,'[1]Tarif - Evolution Marché'!$F:$M,8,0)</f>
        <v>121.05756012658226</v>
      </c>
    </row>
    <row r="1551" spans="1:12" x14ac:dyDescent="0.3">
      <c r="A1551" s="14" t="s">
        <v>21</v>
      </c>
      <c r="B1551" s="15">
        <v>450</v>
      </c>
      <c r="C1551" s="15" t="s">
        <v>10</v>
      </c>
      <c r="D1551" s="15">
        <v>20</v>
      </c>
      <c r="E1551" s="22">
        <v>153.19</v>
      </c>
      <c r="F1551" s="15" t="s">
        <v>18</v>
      </c>
      <c r="G1551" s="15" t="s">
        <v>15</v>
      </c>
      <c r="H1551" s="17">
        <v>46630</v>
      </c>
      <c r="I1551" s="17"/>
      <c r="J1551" s="18"/>
      <c r="K1551" t="str">
        <f t="shared" si="24"/>
        <v>DE450-SDR9</v>
      </c>
      <c r="L1551" s="1">
        <f>VLOOKUP(K1551,'[1]Tarif - Evolution Marché'!$F:$M,8,0)</f>
        <v>153.19459704641346</v>
      </c>
    </row>
    <row r="1552" spans="1:12" x14ac:dyDescent="0.3">
      <c r="A1552" s="8" t="s">
        <v>21</v>
      </c>
      <c r="B1552" s="11">
        <v>500</v>
      </c>
      <c r="C1552" s="11" t="s">
        <v>10</v>
      </c>
      <c r="D1552" s="11">
        <v>20</v>
      </c>
      <c r="E1552" s="22">
        <v>188.71</v>
      </c>
      <c r="F1552" s="11" t="s">
        <v>18</v>
      </c>
      <c r="G1552" s="11" t="s">
        <v>15</v>
      </c>
      <c r="H1552" s="12">
        <v>46630</v>
      </c>
      <c r="I1552" s="12"/>
      <c r="J1552" s="13"/>
      <c r="K1552" t="str">
        <f t="shared" si="24"/>
        <v>DE500-SDR9</v>
      </c>
      <c r="L1552" s="1">
        <f>VLOOKUP(K1552,'[1]Tarif - Evolution Marché'!$F:$M,8,0)</f>
        <v>188.71447995780585</v>
      </c>
    </row>
    <row r="1553" spans="1:12" x14ac:dyDescent="0.3">
      <c r="A1553" s="14" t="s">
        <v>21</v>
      </c>
      <c r="B1553" s="15">
        <v>560</v>
      </c>
      <c r="C1553" s="15" t="s">
        <v>10</v>
      </c>
      <c r="D1553" s="15">
        <v>20</v>
      </c>
      <c r="E1553" s="22">
        <v>236.8</v>
      </c>
      <c r="F1553" s="15" t="s">
        <v>18</v>
      </c>
      <c r="G1553" s="15" t="s">
        <v>15</v>
      </c>
      <c r="H1553" s="17">
        <v>46630</v>
      </c>
      <c r="I1553" s="17"/>
      <c r="J1553" s="18"/>
      <c r="K1553" t="str">
        <f t="shared" si="24"/>
        <v>DE560-SDR9</v>
      </c>
      <c r="L1553" s="1">
        <f>VLOOKUP(K1553,'[1]Tarif - Evolution Marché'!$F:$M,8,0)</f>
        <v>236.79921940928267</v>
      </c>
    </row>
    <row r="1554" spans="1:12" x14ac:dyDescent="0.3">
      <c r="A1554" s="8" t="s">
        <v>21</v>
      </c>
      <c r="B1554" s="11">
        <v>16</v>
      </c>
      <c r="C1554" s="11" t="s">
        <v>11</v>
      </c>
      <c r="D1554" s="11">
        <v>25</v>
      </c>
      <c r="E1554" s="22">
        <v>0.25</v>
      </c>
      <c r="F1554" s="11" t="s">
        <v>18</v>
      </c>
      <c r="G1554" s="11" t="s">
        <v>15</v>
      </c>
      <c r="H1554" s="12">
        <v>46630</v>
      </c>
      <c r="I1554" s="12"/>
      <c r="J1554" s="13"/>
      <c r="K1554" t="str">
        <f t="shared" si="24"/>
        <v>DE16-SDR7,4</v>
      </c>
      <c r="L1554" s="1">
        <f>VLOOKUP(K1554,'[1]Tarif - Evolution Marché'!$F:$M,8,0)</f>
        <v>0.24888081223628686</v>
      </c>
    </row>
    <row r="1555" spans="1:12" x14ac:dyDescent="0.3">
      <c r="A1555" s="14" t="s">
        <v>21</v>
      </c>
      <c r="B1555" s="15">
        <v>20</v>
      </c>
      <c r="C1555" s="15" t="s">
        <v>11</v>
      </c>
      <c r="D1555" s="15">
        <v>25</v>
      </c>
      <c r="E1555" s="22">
        <v>0.4</v>
      </c>
      <c r="F1555" s="15" t="s">
        <v>18</v>
      </c>
      <c r="G1555" s="15" t="s">
        <v>15</v>
      </c>
      <c r="H1555" s="17">
        <v>46630</v>
      </c>
      <c r="I1555" s="17"/>
      <c r="J1555" s="18"/>
      <c r="K1555" t="str">
        <f t="shared" si="24"/>
        <v>DE20-SDR7,4</v>
      </c>
      <c r="L1555" s="1">
        <f>VLOOKUP(K1555,'[1]Tarif - Evolution Marché'!$F:$M,8,0)</f>
        <v>0.39627624472573836</v>
      </c>
    </row>
    <row r="1556" spans="1:12" x14ac:dyDescent="0.3">
      <c r="A1556" s="8" t="s">
        <v>21</v>
      </c>
      <c r="B1556" s="11">
        <v>25</v>
      </c>
      <c r="C1556" s="11" t="s">
        <v>11</v>
      </c>
      <c r="D1556" s="11">
        <v>25</v>
      </c>
      <c r="E1556" s="22">
        <v>0.59</v>
      </c>
      <c r="F1556" s="11" t="s">
        <v>18</v>
      </c>
      <c r="G1556" s="11" t="s">
        <v>15</v>
      </c>
      <c r="H1556" s="12">
        <v>46630</v>
      </c>
      <c r="I1556" s="12"/>
      <c r="J1556" s="13"/>
      <c r="K1556" t="str">
        <f t="shared" si="24"/>
        <v>DE25-SDR7,4</v>
      </c>
      <c r="L1556" s="1">
        <f>VLOOKUP(K1556,'[1]Tarif - Evolution Marché'!$F:$M,8,0)</f>
        <v>0.58716541139240497</v>
      </c>
    </row>
    <row r="1557" spans="1:12" x14ac:dyDescent="0.3">
      <c r="A1557" s="14" t="s">
        <v>21</v>
      </c>
      <c r="B1557" s="15">
        <v>32</v>
      </c>
      <c r="C1557" s="15" t="s">
        <v>11</v>
      </c>
      <c r="D1557" s="15">
        <v>25</v>
      </c>
      <c r="E1557" s="22">
        <v>0.94</v>
      </c>
      <c r="F1557" s="15" t="s">
        <v>18</v>
      </c>
      <c r="G1557" s="15" t="s">
        <v>15</v>
      </c>
      <c r="H1557" s="17">
        <v>46630</v>
      </c>
      <c r="I1557" s="17"/>
      <c r="J1557" s="18"/>
      <c r="K1557" t="str">
        <f t="shared" si="24"/>
        <v>DE32-SDR7,4</v>
      </c>
      <c r="L1557" s="1">
        <f>VLOOKUP(K1557,'[1]Tarif - Evolution Marché'!$F:$M,8,0)</f>
        <v>0.94236424050632894</v>
      </c>
    </row>
    <row r="1558" spans="1:12" x14ac:dyDescent="0.3">
      <c r="A1558" s="8" t="s">
        <v>21</v>
      </c>
      <c r="B1558" s="11">
        <v>40</v>
      </c>
      <c r="C1558" s="11" t="s">
        <v>11</v>
      </c>
      <c r="D1558" s="11">
        <v>25</v>
      </c>
      <c r="E1558" s="22">
        <v>1.47</v>
      </c>
      <c r="F1558" s="11" t="s">
        <v>18</v>
      </c>
      <c r="G1558" s="11" t="s">
        <v>15</v>
      </c>
      <c r="H1558" s="12">
        <v>46630</v>
      </c>
      <c r="I1558" s="12"/>
      <c r="J1558" s="13"/>
      <c r="K1558" t="str">
        <f t="shared" si="24"/>
        <v>DE40-SDR7,4</v>
      </c>
      <c r="L1558" s="1">
        <f>VLOOKUP(K1558,'[1]Tarif - Evolution Marché'!$F:$M,8,0)</f>
        <v>1.4667053691983118</v>
      </c>
    </row>
    <row r="1559" spans="1:12" x14ac:dyDescent="0.3">
      <c r="A1559" s="14" t="s">
        <v>21</v>
      </c>
      <c r="B1559" s="15">
        <v>50</v>
      </c>
      <c r="C1559" s="15" t="s">
        <v>11</v>
      </c>
      <c r="D1559" s="15">
        <v>25</v>
      </c>
      <c r="E1559" s="22">
        <v>2.2799999999999998</v>
      </c>
      <c r="F1559" s="15" t="s">
        <v>18</v>
      </c>
      <c r="G1559" s="15" t="s">
        <v>15</v>
      </c>
      <c r="H1559" s="17">
        <v>46630</v>
      </c>
      <c r="I1559" s="17"/>
      <c r="J1559" s="18"/>
      <c r="K1559" t="str">
        <f t="shared" si="24"/>
        <v>DE50-SDR7,4</v>
      </c>
      <c r="L1559" s="1">
        <f>VLOOKUP(K1559,'[1]Tarif - Evolution Marché'!$F:$M,8,0)</f>
        <v>2.2834210443037968</v>
      </c>
    </row>
    <row r="1560" spans="1:12" x14ac:dyDescent="0.3">
      <c r="A1560" s="8" t="s">
        <v>21</v>
      </c>
      <c r="B1560" s="11">
        <v>63</v>
      </c>
      <c r="C1560" s="11" t="s">
        <v>11</v>
      </c>
      <c r="D1560" s="11">
        <v>25</v>
      </c>
      <c r="E1560" s="22">
        <v>3.6</v>
      </c>
      <c r="F1560" s="11" t="s">
        <v>18</v>
      </c>
      <c r="G1560" s="11" t="s">
        <v>15</v>
      </c>
      <c r="H1560" s="12">
        <v>46630</v>
      </c>
      <c r="I1560" s="12"/>
      <c r="J1560" s="13"/>
      <c r="K1560" t="str">
        <f t="shared" si="24"/>
        <v>DE63-SDR7,4</v>
      </c>
      <c r="L1560" s="1">
        <f>VLOOKUP(K1560,'[1]Tarif - Evolution Marché'!$F:$M,8,0)</f>
        <v>3.6003146624472566</v>
      </c>
    </row>
    <row r="1561" spans="1:12" x14ac:dyDescent="0.3">
      <c r="A1561" s="14" t="s">
        <v>21</v>
      </c>
      <c r="B1561" s="15">
        <v>75</v>
      </c>
      <c r="C1561" s="15" t="s">
        <v>11</v>
      </c>
      <c r="D1561" s="15">
        <v>25</v>
      </c>
      <c r="E1561" s="22">
        <v>5.12</v>
      </c>
      <c r="F1561" s="15" t="s">
        <v>18</v>
      </c>
      <c r="G1561" s="15" t="s">
        <v>15</v>
      </c>
      <c r="H1561" s="17">
        <v>46630</v>
      </c>
      <c r="I1561" s="17"/>
      <c r="J1561" s="18"/>
      <c r="K1561" t="str">
        <f t="shared" si="24"/>
        <v>DE75-SDR7,4</v>
      </c>
      <c r="L1561" s="1">
        <f>VLOOKUP(K1561,'[1]Tarif - Evolution Marché'!$F:$M,8,0)</f>
        <v>5.1225953586497885</v>
      </c>
    </row>
    <row r="1562" spans="1:12" x14ac:dyDescent="0.3">
      <c r="A1562" s="8" t="s">
        <v>21</v>
      </c>
      <c r="B1562" s="11">
        <v>90</v>
      </c>
      <c r="C1562" s="11" t="s">
        <v>11</v>
      </c>
      <c r="D1562" s="11">
        <v>25</v>
      </c>
      <c r="E1562" s="22">
        <v>7.32</v>
      </c>
      <c r="F1562" s="11" t="s">
        <v>18</v>
      </c>
      <c r="G1562" s="11" t="s">
        <v>15</v>
      </c>
      <c r="H1562" s="12">
        <v>46630</v>
      </c>
      <c r="I1562" s="12"/>
      <c r="J1562" s="13"/>
      <c r="K1562" t="str">
        <f t="shared" si="24"/>
        <v>DE90-SDR7,4</v>
      </c>
      <c r="L1562" s="1">
        <f>VLOOKUP(K1562,'[1]Tarif - Evolution Marché'!$F:$M,8,0)</f>
        <v>7.3214452531645549</v>
      </c>
    </row>
    <row r="1563" spans="1:12" x14ac:dyDescent="0.3">
      <c r="A1563" s="14" t="s">
        <v>21</v>
      </c>
      <c r="B1563" s="15">
        <v>110</v>
      </c>
      <c r="C1563" s="15" t="s">
        <v>11</v>
      </c>
      <c r="D1563" s="15">
        <v>25</v>
      </c>
      <c r="E1563" s="22">
        <v>10.97</v>
      </c>
      <c r="F1563" s="15" t="s">
        <v>18</v>
      </c>
      <c r="G1563" s="15" t="s">
        <v>15</v>
      </c>
      <c r="H1563" s="17">
        <v>46630</v>
      </c>
      <c r="I1563" s="17"/>
      <c r="J1563" s="18"/>
      <c r="K1563" t="str">
        <f t="shared" si="24"/>
        <v>DE110-SDR7,4</v>
      </c>
      <c r="L1563" s="1">
        <f>VLOOKUP(K1563,'[1]Tarif - Evolution Marché'!$F:$M,8,0)</f>
        <v>10.970086286919829</v>
      </c>
    </row>
    <row r="1564" spans="1:12" x14ac:dyDescent="0.3">
      <c r="A1564" s="8" t="s">
        <v>21</v>
      </c>
      <c r="B1564" s="11">
        <v>125</v>
      </c>
      <c r="C1564" s="11" t="s">
        <v>11</v>
      </c>
      <c r="D1564" s="11">
        <v>25</v>
      </c>
      <c r="E1564" s="22">
        <v>14.11</v>
      </c>
      <c r="F1564" s="11" t="s">
        <v>18</v>
      </c>
      <c r="G1564" s="11" t="s">
        <v>15</v>
      </c>
      <c r="H1564" s="12">
        <v>46630</v>
      </c>
      <c r="I1564" s="12"/>
      <c r="J1564" s="13"/>
      <c r="K1564" t="str">
        <f t="shared" si="24"/>
        <v>DE125-SDR7,4</v>
      </c>
      <c r="L1564" s="1">
        <f>VLOOKUP(K1564,'[1]Tarif - Evolution Marché'!$F:$M,8,0)</f>
        <v>14.111300421940925</v>
      </c>
    </row>
    <row r="1565" spans="1:12" x14ac:dyDescent="0.3">
      <c r="A1565" s="14" t="s">
        <v>21</v>
      </c>
      <c r="B1565" s="15">
        <v>140</v>
      </c>
      <c r="C1565" s="15" t="s">
        <v>11</v>
      </c>
      <c r="D1565" s="15">
        <v>25</v>
      </c>
      <c r="E1565" s="22">
        <v>17.71</v>
      </c>
      <c r="F1565" s="15" t="s">
        <v>18</v>
      </c>
      <c r="G1565" s="15" t="s">
        <v>15</v>
      </c>
      <c r="H1565" s="17">
        <v>46630</v>
      </c>
      <c r="I1565" s="17"/>
      <c r="J1565" s="18"/>
      <c r="K1565" t="str">
        <f t="shared" si="24"/>
        <v>DE140-SDR7,4</v>
      </c>
      <c r="L1565" s="1">
        <f>VLOOKUP(K1565,'[1]Tarif - Evolution Marché'!$F:$M,8,0)</f>
        <v>17.711615084388182</v>
      </c>
    </row>
    <row r="1566" spans="1:12" x14ac:dyDescent="0.3">
      <c r="A1566" s="8" t="s">
        <v>21</v>
      </c>
      <c r="B1566" s="11">
        <v>160</v>
      </c>
      <c r="C1566" s="11" t="s">
        <v>11</v>
      </c>
      <c r="D1566" s="11">
        <v>25</v>
      </c>
      <c r="E1566" s="22">
        <v>23.05</v>
      </c>
      <c r="F1566" s="11" t="s">
        <v>18</v>
      </c>
      <c r="G1566" s="11" t="s">
        <v>15</v>
      </c>
      <c r="H1566" s="12">
        <v>46630</v>
      </c>
      <c r="I1566" s="12"/>
      <c r="J1566" s="13"/>
      <c r="K1566" t="str">
        <f t="shared" si="24"/>
        <v>DE160-SDR7,4</v>
      </c>
      <c r="L1566" s="1">
        <f>VLOOKUP(K1566,'[1]Tarif - Evolution Marché'!$F:$M,8,0)</f>
        <v>23.051679113924045</v>
      </c>
    </row>
    <row r="1567" spans="1:12" x14ac:dyDescent="0.3">
      <c r="A1567" s="14" t="s">
        <v>21</v>
      </c>
      <c r="B1567" s="15">
        <v>180</v>
      </c>
      <c r="C1567" s="15" t="s">
        <v>11</v>
      </c>
      <c r="D1567" s="15">
        <v>25</v>
      </c>
      <c r="E1567" s="22">
        <v>29.24</v>
      </c>
      <c r="F1567" s="15" t="s">
        <v>18</v>
      </c>
      <c r="G1567" s="15" t="s">
        <v>15</v>
      </c>
      <c r="H1567" s="17">
        <v>46630</v>
      </c>
      <c r="I1567" s="17"/>
      <c r="J1567" s="18"/>
      <c r="K1567" t="str">
        <f t="shared" si="24"/>
        <v>DE180-SDR7,4</v>
      </c>
      <c r="L1567" s="1">
        <f>VLOOKUP(K1567,'[1]Tarif - Evolution Marché'!$F:$M,8,0)</f>
        <v>29.237454641350205</v>
      </c>
    </row>
    <row r="1568" spans="1:12" x14ac:dyDescent="0.3">
      <c r="A1568" s="8" t="s">
        <v>21</v>
      </c>
      <c r="B1568" s="11">
        <v>200</v>
      </c>
      <c r="C1568" s="11" t="s">
        <v>11</v>
      </c>
      <c r="D1568" s="11">
        <v>25</v>
      </c>
      <c r="E1568" s="22">
        <v>36</v>
      </c>
      <c r="F1568" s="11" t="s">
        <v>18</v>
      </c>
      <c r="G1568" s="11" t="s">
        <v>15</v>
      </c>
      <c r="H1568" s="12">
        <v>46630</v>
      </c>
      <c r="I1568" s="12"/>
      <c r="J1568" s="13"/>
      <c r="K1568" t="str">
        <f t="shared" si="24"/>
        <v>DE200-SDR7,4</v>
      </c>
      <c r="L1568" s="1">
        <f>VLOOKUP(K1568,'[1]Tarif - Evolution Marché'!$F:$M,8,0)</f>
        <v>36.003146624472571</v>
      </c>
    </row>
    <row r="1569" spans="1:12" x14ac:dyDescent="0.3">
      <c r="A1569" s="14" t="s">
        <v>21</v>
      </c>
      <c r="B1569" s="15">
        <v>225</v>
      </c>
      <c r="C1569" s="15" t="s">
        <v>11</v>
      </c>
      <c r="D1569" s="15">
        <v>25</v>
      </c>
      <c r="E1569" s="22">
        <v>45.43</v>
      </c>
      <c r="F1569" s="15" t="s">
        <v>18</v>
      </c>
      <c r="G1569" s="15" t="s">
        <v>15</v>
      </c>
      <c r="H1569" s="17">
        <v>46630</v>
      </c>
      <c r="I1569" s="17"/>
      <c r="J1569" s="18"/>
      <c r="K1569" t="str">
        <f t="shared" si="24"/>
        <v>DE225-SDR7,4</v>
      </c>
      <c r="L1569" s="1">
        <f>VLOOKUP(K1569,'[1]Tarif - Evolution Marché'!$F:$M,8,0)</f>
        <v>45.426789029535861</v>
      </c>
    </row>
    <row r="1570" spans="1:12" x14ac:dyDescent="0.3">
      <c r="A1570" s="8" t="s">
        <v>21</v>
      </c>
      <c r="B1570" s="11">
        <v>250</v>
      </c>
      <c r="C1570" s="11" t="s">
        <v>11</v>
      </c>
      <c r="D1570" s="11">
        <v>25</v>
      </c>
      <c r="E1570" s="22">
        <v>56.3</v>
      </c>
      <c r="F1570" s="11" t="s">
        <v>18</v>
      </c>
      <c r="G1570" s="11" t="s">
        <v>15</v>
      </c>
      <c r="H1570" s="12">
        <v>46630</v>
      </c>
      <c r="I1570" s="12"/>
      <c r="J1570" s="13"/>
      <c r="K1570" t="str">
        <f t="shared" si="24"/>
        <v>DE250-SDR7,4</v>
      </c>
      <c r="L1570" s="1">
        <f>VLOOKUP(K1570,'[1]Tarif - Evolution Marché'!$F:$M,8,0)</f>
        <v>56.300222573839655</v>
      </c>
    </row>
    <row r="1571" spans="1:12" x14ac:dyDescent="0.3">
      <c r="A1571" s="14" t="s">
        <v>21</v>
      </c>
      <c r="B1571" s="15">
        <v>280</v>
      </c>
      <c r="C1571" s="15" t="s">
        <v>11</v>
      </c>
      <c r="D1571" s="15">
        <v>25</v>
      </c>
      <c r="E1571" s="22">
        <v>70.56</v>
      </c>
      <c r="F1571" s="15" t="s">
        <v>18</v>
      </c>
      <c r="G1571" s="15" t="s">
        <v>15</v>
      </c>
      <c r="H1571" s="17">
        <v>46630</v>
      </c>
      <c r="I1571" s="17"/>
      <c r="J1571" s="18"/>
      <c r="K1571" t="str">
        <f t="shared" si="24"/>
        <v>DE280-SDR7,4</v>
      </c>
      <c r="L1571" s="1">
        <f>VLOOKUP(K1571,'[1]Tarif - Evolution Marché'!$F:$M,8,0)</f>
        <v>70.556502109704624</v>
      </c>
    </row>
    <row r="1572" spans="1:12" x14ac:dyDescent="0.3">
      <c r="A1572" s="8" t="s">
        <v>21</v>
      </c>
      <c r="B1572" s="11">
        <v>315</v>
      </c>
      <c r="C1572" s="11" t="s">
        <v>11</v>
      </c>
      <c r="D1572" s="11">
        <v>25</v>
      </c>
      <c r="E1572" s="22">
        <v>89.16</v>
      </c>
      <c r="F1572" s="11" t="s">
        <v>18</v>
      </c>
      <c r="G1572" s="11" t="s">
        <v>15</v>
      </c>
      <c r="H1572" s="12">
        <v>46630</v>
      </c>
      <c r="I1572" s="12"/>
      <c r="J1572" s="13"/>
      <c r="K1572" t="str">
        <f t="shared" si="24"/>
        <v>DE315-SDR7,4</v>
      </c>
      <c r="L1572" s="1">
        <f>VLOOKUP(K1572,'[1]Tarif - Evolution Marché'!$F:$M,8,0)</f>
        <v>89.162155063291124</v>
      </c>
    </row>
    <row r="1573" spans="1:12" x14ac:dyDescent="0.3">
      <c r="A1573" s="14" t="s">
        <v>21</v>
      </c>
      <c r="B1573" s="15">
        <v>355</v>
      </c>
      <c r="C1573" s="15" t="s">
        <v>11</v>
      </c>
      <c r="D1573" s="15">
        <v>25</v>
      </c>
      <c r="E1573" s="22">
        <v>113.08</v>
      </c>
      <c r="F1573" s="15" t="s">
        <v>18</v>
      </c>
      <c r="G1573" s="15" t="s">
        <v>15</v>
      </c>
      <c r="H1573" s="17">
        <v>46630</v>
      </c>
      <c r="I1573" s="17"/>
      <c r="J1573" s="18"/>
      <c r="K1573" t="str">
        <f t="shared" si="24"/>
        <v>DE355-SDR7,4</v>
      </c>
      <c r="L1573" s="1">
        <f>VLOOKUP(K1573,'[1]Tarif - Evolution Marché'!$F:$M,8,0)</f>
        <v>113.08370886075947</v>
      </c>
    </row>
    <row r="1574" spans="1:12" x14ac:dyDescent="0.3">
      <c r="A1574" s="8" t="s">
        <v>21</v>
      </c>
      <c r="B1574" s="11">
        <v>400</v>
      </c>
      <c r="C1574" s="11" t="s">
        <v>11</v>
      </c>
      <c r="D1574" s="11">
        <v>25</v>
      </c>
      <c r="E1574" s="22">
        <v>143.53</v>
      </c>
      <c r="F1574" s="11" t="s">
        <v>18</v>
      </c>
      <c r="G1574" s="11" t="s">
        <v>15</v>
      </c>
      <c r="H1574" s="12">
        <v>46630</v>
      </c>
      <c r="I1574" s="12"/>
      <c r="J1574" s="13"/>
      <c r="K1574" t="str">
        <f t="shared" si="24"/>
        <v>DE400-SDR7,4</v>
      </c>
      <c r="L1574" s="1">
        <f>VLOOKUP(K1574,'[1]Tarif - Evolution Marché'!$F:$M,8,0)</f>
        <v>143.52932278481009</v>
      </c>
    </row>
    <row r="1575" spans="1:12" x14ac:dyDescent="0.3">
      <c r="A1575" s="14" t="s">
        <v>21</v>
      </c>
      <c r="B1575" s="15">
        <v>450</v>
      </c>
      <c r="C1575" s="15" t="s">
        <v>11</v>
      </c>
      <c r="D1575" s="15">
        <v>25</v>
      </c>
      <c r="E1575" s="22">
        <v>181.71</v>
      </c>
      <c r="F1575" s="15" t="s">
        <v>18</v>
      </c>
      <c r="G1575" s="15" t="s">
        <v>15</v>
      </c>
      <c r="H1575" s="17">
        <v>46630</v>
      </c>
      <c r="I1575" s="17"/>
      <c r="J1575" s="18"/>
      <c r="K1575" t="str">
        <f t="shared" si="24"/>
        <v>DE450-SDR7,4</v>
      </c>
      <c r="L1575" s="1">
        <f>VLOOKUP(K1575,'[1]Tarif - Evolution Marché'!$F:$M,8,0)</f>
        <v>181.70715611814344</v>
      </c>
    </row>
    <row r="1576" spans="1:12" x14ac:dyDescent="0.3">
      <c r="A1576" s="8" t="s">
        <v>21</v>
      </c>
      <c r="B1576" s="11">
        <v>500</v>
      </c>
      <c r="C1576" s="11" t="s">
        <v>11</v>
      </c>
      <c r="D1576" s="11">
        <v>25</v>
      </c>
      <c r="E1576" s="22">
        <v>224.23</v>
      </c>
      <c r="F1576" s="11" t="s">
        <v>18</v>
      </c>
      <c r="G1576" s="11" t="s">
        <v>15</v>
      </c>
      <c r="H1576" s="12">
        <v>46630</v>
      </c>
      <c r="I1576" s="12"/>
      <c r="J1576" s="13"/>
      <c r="K1576" t="str">
        <f t="shared" si="24"/>
        <v>DE500-SDR7,4</v>
      </c>
      <c r="L1576" s="1">
        <f>VLOOKUP(K1576,'[1]Tarif - Evolution Marché'!$F:$M,8,0)</f>
        <v>224.23436286919826</v>
      </c>
    </row>
    <row r="1577" spans="1:12" x14ac:dyDescent="0.3">
      <c r="A1577" s="14" t="s">
        <v>21</v>
      </c>
      <c r="B1577" s="15">
        <v>63</v>
      </c>
      <c r="C1577" s="15" t="s">
        <v>3</v>
      </c>
      <c r="D1577" s="15">
        <v>4</v>
      </c>
      <c r="E1577" s="21">
        <v>0.95</v>
      </c>
      <c r="F1577" s="15" t="s">
        <v>18</v>
      </c>
      <c r="G1577" s="15" t="s">
        <v>17</v>
      </c>
      <c r="H1577" s="17">
        <v>46630</v>
      </c>
      <c r="I1577" s="17"/>
      <c r="J1577" s="18"/>
      <c r="K1577" t="str">
        <f t="shared" si="24"/>
        <v>DE63-SDR41</v>
      </c>
      <c r="L1577">
        <f>VLOOKUP(K1577,'[1]Tarif - Evolution Marché'!$F:$N,9,0)</f>
        <v>0.95426902953586501</v>
      </c>
    </row>
    <row r="1578" spans="1:12" x14ac:dyDescent="0.3">
      <c r="A1578" s="8" t="s">
        <v>21</v>
      </c>
      <c r="B1578" s="11">
        <v>75</v>
      </c>
      <c r="C1578" s="11" t="s">
        <v>3</v>
      </c>
      <c r="D1578" s="11">
        <v>4</v>
      </c>
      <c r="E1578" s="21">
        <v>1.2</v>
      </c>
      <c r="F1578" s="11" t="s">
        <v>18</v>
      </c>
      <c r="G1578" s="11" t="s">
        <v>17</v>
      </c>
      <c r="H1578" s="12">
        <v>46630</v>
      </c>
      <c r="I1578" s="12"/>
      <c r="J1578" s="13"/>
      <c r="K1578" t="str">
        <f t="shared" si="24"/>
        <v>DE75-SDR41</v>
      </c>
      <c r="L1578">
        <f>VLOOKUP(K1578,'[1]Tarif - Evolution Marché'!$F:$N,9,0)</f>
        <v>1.1980225316455697</v>
      </c>
    </row>
    <row r="1579" spans="1:12" x14ac:dyDescent="0.3">
      <c r="A1579" s="14" t="s">
        <v>21</v>
      </c>
      <c r="B1579" s="15">
        <v>90</v>
      </c>
      <c r="C1579" s="15" t="s">
        <v>3</v>
      </c>
      <c r="D1579" s="15">
        <v>4</v>
      </c>
      <c r="E1579" s="21">
        <v>1.68</v>
      </c>
      <c r="F1579" s="15" t="s">
        <v>18</v>
      </c>
      <c r="G1579" s="15" t="s">
        <v>17</v>
      </c>
      <c r="H1579" s="17">
        <v>46630</v>
      </c>
      <c r="I1579" s="17"/>
      <c r="J1579" s="18"/>
      <c r="K1579" t="str">
        <f t="shared" si="24"/>
        <v>DE90-SDR41</v>
      </c>
      <c r="L1579">
        <f>VLOOKUP(K1579,'[1]Tarif - Evolution Marché'!$F:$N,9,0)</f>
        <v>1.6777501687763714</v>
      </c>
    </row>
    <row r="1580" spans="1:12" x14ac:dyDescent="0.3">
      <c r="A1580" s="8" t="s">
        <v>21</v>
      </c>
      <c r="B1580" s="11">
        <v>110</v>
      </c>
      <c r="C1580" s="11" t="s">
        <v>3</v>
      </c>
      <c r="D1580" s="11">
        <v>4</v>
      </c>
      <c r="E1580" s="21">
        <v>2.4700000000000002</v>
      </c>
      <c r="F1580" s="11" t="s">
        <v>18</v>
      </c>
      <c r="G1580" s="11" t="s">
        <v>17</v>
      </c>
      <c r="H1580" s="12">
        <v>46630</v>
      </c>
      <c r="I1580" s="12"/>
      <c r="J1580" s="13"/>
      <c r="K1580" t="str">
        <f t="shared" si="24"/>
        <v>DE110-SDR41</v>
      </c>
      <c r="L1580">
        <f>VLOOKUP(K1580,'[1]Tarif - Evolution Marché'!$F:$N,9,0)</f>
        <v>2.4686524894514768</v>
      </c>
    </row>
    <row r="1581" spans="1:12" x14ac:dyDescent="0.3">
      <c r="A1581" s="14" t="s">
        <v>21</v>
      </c>
      <c r="B1581" s="15">
        <v>125</v>
      </c>
      <c r="C1581" s="15" t="s">
        <v>3</v>
      </c>
      <c r="D1581" s="15">
        <v>4</v>
      </c>
      <c r="E1581" s="21">
        <v>3.24</v>
      </c>
      <c r="F1581" s="15" t="s">
        <v>18</v>
      </c>
      <c r="G1581" s="15" t="s">
        <v>17</v>
      </c>
      <c r="H1581" s="17">
        <v>46630</v>
      </c>
      <c r="I1581" s="17"/>
      <c r="J1581" s="18"/>
      <c r="K1581" t="str">
        <f t="shared" si="24"/>
        <v>DE125-SDR41</v>
      </c>
      <c r="L1581">
        <f>VLOOKUP(K1581,'[1]Tarif - Evolution Marché'!$F:$N,9,0)</f>
        <v>3.2414029535864981</v>
      </c>
    </row>
    <row r="1582" spans="1:12" x14ac:dyDescent="0.3">
      <c r="A1582" s="8" t="s">
        <v>21</v>
      </c>
      <c r="B1582" s="11">
        <v>140</v>
      </c>
      <c r="C1582" s="11" t="s">
        <v>3</v>
      </c>
      <c r="D1582" s="11">
        <v>4</v>
      </c>
      <c r="E1582" s="21">
        <v>4.05</v>
      </c>
      <c r="F1582" s="11" t="s">
        <v>18</v>
      </c>
      <c r="G1582" s="11" t="s">
        <v>17</v>
      </c>
      <c r="H1582" s="12">
        <v>46630</v>
      </c>
      <c r="I1582" s="12"/>
      <c r="J1582" s="13"/>
      <c r="K1582" t="str">
        <f t="shared" si="24"/>
        <v>DE140-SDR41</v>
      </c>
      <c r="L1582">
        <f>VLOOKUP(K1582,'[1]Tarif - Evolution Marché'!$F:$N,9,0)</f>
        <v>4.0452708860759499</v>
      </c>
    </row>
    <row r="1583" spans="1:12" x14ac:dyDescent="0.3">
      <c r="A1583" s="14" t="s">
        <v>21</v>
      </c>
      <c r="B1583" s="15">
        <v>160</v>
      </c>
      <c r="C1583" s="15" t="s">
        <v>3</v>
      </c>
      <c r="D1583" s="15">
        <v>4</v>
      </c>
      <c r="E1583" s="21">
        <v>5.24</v>
      </c>
      <c r="F1583" s="15" t="s">
        <v>18</v>
      </c>
      <c r="G1583" s="15" t="s">
        <v>17</v>
      </c>
      <c r="H1583" s="17">
        <v>46630</v>
      </c>
      <c r="I1583" s="17"/>
      <c r="J1583" s="18"/>
      <c r="K1583" t="str">
        <f t="shared" si="24"/>
        <v>DE160-SDR41</v>
      </c>
      <c r="L1583">
        <f>VLOOKUP(K1583,'[1]Tarif - Evolution Marché'!$F:$N,9,0)</f>
        <v>5.2381071729957807</v>
      </c>
    </row>
    <row r="1584" spans="1:12" x14ac:dyDescent="0.3">
      <c r="A1584" s="8" t="s">
        <v>21</v>
      </c>
      <c r="B1584" s="11">
        <v>180</v>
      </c>
      <c r="C1584" s="11" t="s">
        <v>3</v>
      </c>
      <c r="D1584" s="11">
        <v>4</v>
      </c>
      <c r="E1584" s="21">
        <v>6.51</v>
      </c>
      <c r="F1584" s="11" t="s">
        <v>18</v>
      </c>
      <c r="G1584" s="11" t="s">
        <v>17</v>
      </c>
      <c r="H1584" s="12">
        <v>46630</v>
      </c>
      <c r="I1584" s="12"/>
      <c r="J1584" s="13"/>
      <c r="K1584" t="str">
        <f t="shared" si="24"/>
        <v>DE180-SDR41</v>
      </c>
      <c r="L1584">
        <f>VLOOKUP(K1584,'[1]Tarif - Evolution Marché'!$F:$N,9,0)</f>
        <v>6.5087371308016877</v>
      </c>
    </row>
    <row r="1585" spans="1:12" x14ac:dyDescent="0.3">
      <c r="A1585" s="14" t="s">
        <v>21</v>
      </c>
      <c r="B1585" s="15">
        <v>200</v>
      </c>
      <c r="C1585" s="15" t="s">
        <v>3</v>
      </c>
      <c r="D1585" s="15">
        <v>4</v>
      </c>
      <c r="E1585" s="21">
        <v>7.99</v>
      </c>
      <c r="F1585" s="15" t="s">
        <v>18</v>
      </c>
      <c r="G1585" s="15" t="s">
        <v>17</v>
      </c>
      <c r="H1585" s="17">
        <v>46630</v>
      </c>
      <c r="I1585" s="17"/>
      <c r="J1585" s="18"/>
      <c r="K1585" t="str">
        <f t="shared" si="24"/>
        <v>DE200-SDR41</v>
      </c>
      <c r="L1585">
        <f>VLOOKUP(K1585,'[1]Tarif - Evolution Marché'!$F:$N,9,0)</f>
        <v>7.9868168776371311</v>
      </c>
    </row>
    <row r="1586" spans="1:12" x14ac:dyDescent="0.3">
      <c r="A1586" s="8" t="s">
        <v>21</v>
      </c>
      <c r="B1586" s="11">
        <v>225</v>
      </c>
      <c r="C1586" s="11" t="s">
        <v>3</v>
      </c>
      <c r="D1586" s="11">
        <v>4</v>
      </c>
      <c r="E1586" s="21">
        <v>10.11</v>
      </c>
      <c r="F1586" s="11" t="s">
        <v>18</v>
      </c>
      <c r="G1586" s="11" t="s">
        <v>17</v>
      </c>
      <c r="H1586" s="12">
        <v>46630</v>
      </c>
      <c r="I1586" s="12"/>
      <c r="J1586" s="13"/>
      <c r="K1586" t="str">
        <f t="shared" si="24"/>
        <v>DE225-SDR41</v>
      </c>
      <c r="L1586">
        <f>VLOOKUP(K1586,'[1]Tarif - Evolution Marché'!$F:$N,9,0)</f>
        <v>10.113177215189873</v>
      </c>
    </row>
    <row r="1587" spans="1:12" x14ac:dyDescent="0.3">
      <c r="A1587" s="14" t="s">
        <v>21</v>
      </c>
      <c r="B1587" s="15">
        <v>250</v>
      </c>
      <c r="C1587" s="15" t="s">
        <v>3</v>
      </c>
      <c r="D1587" s="15">
        <v>4</v>
      </c>
      <c r="E1587" s="21">
        <v>12.65</v>
      </c>
      <c r="F1587" s="15" t="s">
        <v>18</v>
      </c>
      <c r="G1587" s="15" t="s">
        <v>17</v>
      </c>
      <c r="H1587" s="17">
        <v>46630</v>
      </c>
      <c r="I1587" s="17"/>
      <c r="J1587" s="18"/>
      <c r="K1587" t="str">
        <f t="shared" si="24"/>
        <v>DE250-SDR41</v>
      </c>
      <c r="L1587">
        <f>VLOOKUP(K1587,'[1]Tarif - Evolution Marché'!$F:$N,9,0)</f>
        <v>12.654437130801687</v>
      </c>
    </row>
    <row r="1588" spans="1:12" x14ac:dyDescent="0.3">
      <c r="A1588" s="8" t="s">
        <v>21</v>
      </c>
      <c r="B1588" s="11">
        <v>280</v>
      </c>
      <c r="C1588" s="11" t="s">
        <v>3</v>
      </c>
      <c r="D1588" s="11">
        <v>4</v>
      </c>
      <c r="E1588" s="21">
        <v>15.66</v>
      </c>
      <c r="F1588" s="11" t="s">
        <v>18</v>
      </c>
      <c r="G1588" s="11" t="s">
        <v>17</v>
      </c>
      <c r="H1588" s="12">
        <v>46630</v>
      </c>
      <c r="I1588" s="12"/>
      <c r="J1588" s="13"/>
      <c r="K1588" t="str">
        <f t="shared" si="24"/>
        <v>DE280-SDR41</v>
      </c>
      <c r="L1588">
        <f>VLOOKUP(K1588,'[1]Tarif - Evolution Marché'!$F:$N,9,0)</f>
        <v>15.662459071729959</v>
      </c>
    </row>
    <row r="1589" spans="1:12" x14ac:dyDescent="0.3">
      <c r="A1589" s="14" t="s">
        <v>21</v>
      </c>
      <c r="B1589" s="15">
        <v>315</v>
      </c>
      <c r="C1589" s="15" t="s">
        <v>3</v>
      </c>
      <c r="D1589" s="15">
        <v>4</v>
      </c>
      <c r="E1589" s="21">
        <v>19.68</v>
      </c>
      <c r="F1589" s="15" t="s">
        <v>18</v>
      </c>
      <c r="G1589" s="15" t="s">
        <v>17</v>
      </c>
      <c r="H1589" s="17">
        <v>46630</v>
      </c>
      <c r="I1589" s="17"/>
      <c r="J1589" s="18"/>
      <c r="K1589" t="str">
        <f t="shared" si="24"/>
        <v>DE315-SDR41</v>
      </c>
      <c r="L1589">
        <f>VLOOKUP(K1589,'[1]Tarif - Evolution Marché'!$F:$N,9,0)</f>
        <v>19.681798734177214</v>
      </c>
    </row>
    <row r="1590" spans="1:12" x14ac:dyDescent="0.3">
      <c r="A1590" s="8" t="s">
        <v>21</v>
      </c>
      <c r="B1590" s="11">
        <v>355</v>
      </c>
      <c r="C1590" s="11" t="s">
        <v>3</v>
      </c>
      <c r="D1590" s="11">
        <v>4</v>
      </c>
      <c r="E1590" s="21">
        <v>25.02</v>
      </c>
      <c r="F1590" s="11" t="s">
        <v>18</v>
      </c>
      <c r="G1590" s="11" t="s">
        <v>17</v>
      </c>
      <c r="H1590" s="12">
        <v>46630</v>
      </c>
      <c r="I1590" s="12"/>
      <c r="J1590" s="13"/>
      <c r="K1590" t="str">
        <f t="shared" si="24"/>
        <v>DE355-SDR41</v>
      </c>
      <c r="L1590">
        <f>VLOOKUP(K1590,'[1]Tarif - Evolution Marché'!$F:$N,9,0)</f>
        <v>25.023630801687766</v>
      </c>
    </row>
    <row r="1591" spans="1:12" x14ac:dyDescent="0.3">
      <c r="A1591" s="14" t="s">
        <v>21</v>
      </c>
      <c r="B1591" s="15">
        <v>400</v>
      </c>
      <c r="C1591" s="15" t="s">
        <v>3</v>
      </c>
      <c r="D1591" s="15">
        <v>4</v>
      </c>
      <c r="E1591" s="21">
        <v>31.64</v>
      </c>
      <c r="F1591" s="15" t="s">
        <v>18</v>
      </c>
      <c r="G1591" s="15" t="s">
        <v>17</v>
      </c>
      <c r="H1591" s="17">
        <v>46630</v>
      </c>
      <c r="I1591" s="17"/>
      <c r="J1591" s="18"/>
      <c r="K1591" t="str">
        <f t="shared" si="24"/>
        <v>DE400-SDR41</v>
      </c>
      <c r="L1591">
        <f>VLOOKUP(K1591,'[1]Tarif - Evolution Marché'!$F:$N,9,0)</f>
        <v>31.636092827004219</v>
      </c>
    </row>
    <row r="1592" spans="1:12" x14ac:dyDescent="0.3">
      <c r="A1592" s="8" t="s">
        <v>21</v>
      </c>
      <c r="B1592" s="11">
        <v>450</v>
      </c>
      <c r="C1592" s="11" t="s">
        <v>3</v>
      </c>
      <c r="D1592" s="11">
        <v>4</v>
      </c>
      <c r="E1592" s="21">
        <v>39.93</v>
      </c>
      <c r="F1592" s="11" t="s">
        <v>18</v>
      </c>
      <c r="G1592" s="11" t="s">
        <v>17</v>
      </c>
      <c r="H1592" s="12">
        <v>46630</v>
      </c>
      <c r="I1592" s="12"/>
      <c r="J1592" s="13"/>
      <c r="K1592" t="str">
        <f t="shared" si="24"/>
        <v>DE450-SDR41</v>
      </c>
      <c r="L1592">
        <f>VLOOKUP(K1592,'[1]Tarif - Evolution Marché'!$F:$N,9,0)</f>
        <v>39.934084388185653</v>
      </c>
    </row>
    <row r="1593" spans="1:12" x14ac:dyDescent="0.3">
      <c r="A1593" s="14" t="s">
        <v>21</v>
      </c>
      <c r="B1593" s="15">
        <v>500</v>
      </c>
      <c r="C1593" s="15" t="s">
        <v>3</v>
      </c>
      <c r="D1593" s="15">
        <v>4</v>
      </c>
      <c r="E1593" s="21">
        <v>49.79</v>
      </c>
      <c r="F1593" s="15" t="s">
        <v>18</v>
      </c>
      <c r="G1593" s="15" t="s">
        <v>17</v>
      </c>
      <c r="H1593" s="17">
        <v>46630</v>
      </c>
      <c r="I1593" s="17"/>
      <c r="J1593" s="18"/>
      <c r="K1593" t="str">
        <f t="shared" si="24"/>
        <v>DE500-SDR41</v>
      </c>
      <c r="L1593">
        <f>VLOOKUP(K1593,'[1]Tarif - Evolution Marché'!$F:$N,9,0)</f>
        <v>49.787949367088608</v>
      </c>
    </row>
    <row r="1594" spans="1:12" x14ac:dyDescent="0.3">
      <c r="A1594" s="8" t="s">
        <v>21</v>
      </c>
      <c r="B1594" s="11">
        <v>560</v>
      </c>
      <c r="C1594" s="11" t="s">
        <v>3</v>
      </c>
      <c r="D1594" s="11">
        <v>4</v>
      </c>
      <c r="E1594" s="21">
        <v>61.98</v>
      </c>
      <c r="F1594" s="11" t="s">
        <v>18</v>
      </c>
      <c r="G1594" s="11" t="s">
        <v>17</v>
      </c>
      <c r="H1594" s="12">
        <v>46630</v>
      </c>
      <c r="I1594" s="12"/>
      <c r="J1594" s="13"/>
      <c r="K1594" t="str">
        <f t="shared" si="24"/>
        <v>DE560-SDR41</v>
      </c>
      <c r="L1594">
        <f>VLOOKUP(K1594,'[1]Tarif - Evolution Marché'!$F:$N,9,0)</f>
        <v>61.975624472573841</v>
      </c>
    </row>
    <row r="1595" spans="1:12" x14ac:dyDescent="0.3">
      <c r="A1595" s="14" t="s">
        <v>21</v>
      </c>
      <c r="B1595" s="15">
        <v>630</v>
      </c>
      <c r="C1595" s="15" t="s">
        <v>3</v>
      </c>
      <c r="D1595" s="15">
        <v>4</v>
      </c>
      <c r="E1595" s="21">
        <v>78.31</v>
      </c>
      <c r="F1595" s="15" t="s">
        <v>18</v>
      </c>
      <c r="G1595" s="15" t="s">
        <v>17</v>
      </c>
      <c r="H1595" s="17">
        <v>46630</v>
      </c>
      <c r="I1595" s="17"/>
      <c r="J1595" s="18"/>
      <c r="K1595" t="str">
        <f t="shared" si="24"/>
        <v>DE630-SDR41</v>
      </c>
      <c r="L1595">
        <f>VLOOKUP(K1595,'[1]Tarif - Evolution Marché'!$F:$N,9,0)</f>
        <v>78.312295358649791</v>
      </c>
    </row>
    <row r="1596" spans="1:12" x14ac:dyDescent="0.3">
      <c r="A1596" s="8" t="s">
        <v>21</v>
      </c>
      <c r="B1596" s="11">
        <v>710</v>
      </c>
      <c r="C1596" s="11" t="s">
        <v>3</v>
      </c>
      <c r="D1596" s="11">
        <v>4</v>
      </c>
      <c r="E1596" s="21">
        <v>99.58</v>
      </c>
      <c r="F1596" s="11" t="s">
        <v>18</v>
      </c>
      <c r="G1596" s="11" t="s">
        <v>17</v>
      </c>
      <c r="H1596" s="12">
        <v>46630</v>
      </c>
      <c r="I1596" s="12"/>
      <c r="J1596" s="13"/>
      <c r="K1596" t="str">
        <f t="shared" si="24"/>
        <v>DE710-SDR41</v>
      </c>
      <c r="L1596">
        <f>VLOOKUP(K1596,'[1]Tarif - Evolution Marché'!$F:$N,9,0)</f>
        <v>99.575898734177215</v>
      </c>
    </row>
    <row r="1597" spans="1:12" x14ac:dyDescent="0.3">
      <c r="A1597" s="14" t="s">
        <v>21</v>
      </c>
      <c r="B1597" s="15">
        <v>800</v>
      </c>
      <c r="C1597" s="15" t="s">
        <v>3</v>
      </c>
      <c r="D1597" s="15">
        <v>4</v>
      </c>
      <c r="E1597" s="21">
        <v>126.29</v>
      </c>
      <c r="F1597" s="15" t="s">
        <v>18</v>
      </c>
      <c r="G1597" s="15" t="s">
        <v>17</v>
      </c>
      <c r="H1597" s="17">
        <v>46630</v>
      </c>
      <c r="I1597" s="17"/>
      <c r="J1597" s="18"/>
      <c r="K1597" t="str">
        <f t="shared" si="24"/>
        <v>DE800-SDR41</v>
      </c>
      <c r="L1597">
        <f>VLOOKUP(K1597,'[1]Tarif - Evolution Marché'!$F:$N,9,0)</f>
        <v>126.28505907172998</v>
      </c>
    </row>
    <row r="1598" spans="1:12" x14ac:dyDescent="0.3">
      <c r="A1598" s="8" t="s">
        <v>21</v>
      </c>
      <c r="B1598" s="11">
        <v>900</v>
      </c>
      <c r="C1598" s="11" t="s">
        <v>3</v>
      </c>
      <c r="D1598" s="11">
        <v>4</v>
      </c>
      <c r="E1598" s="21">
        <v>158.96</v>
      </c>
      <c r="F1598" s="11" t="s">
        <v>18</v>
      </c>
      <c r="G1598" s="11" t="s">
        <v>17</v>
      </c>
      <c r="H1598" s="12">
        <v>46630</v>
      </c>
      <c r="I1598" s="12"/>
      <c r="J1598" s="13"/>
      <c r="K1598" t="str">
        <f t="shared" si="24"/>
        <v>DE900-SDR41</v>
      </c>
      <c r="L1598">
        <f>VLOOKUP(K1598,'[1]Tarif - Evolution Marché'!$F:$N,9,0)</f>
        <v>158.95840084388186</v>
      </c>
    </row>
    <row r="1599" spans="1:12" x14ac:dyDescent="0.3">
      <c r="A1599" s="14" t="s">
        <v>21</v>
      </c>
      <c r="B1599" s="15">
        <v>1000</v>
      </c>
      <c r="C1599" s="15" t="s">
        <v>3</v>
      </c>
      <c r="D1599" s="15">
        <v>4</v>
      </c>
      <c r="E1599" s="21">
        <v>196.82</v>
      </c>
      <c r="F1599" s="15" t="s">
        <v>18</v>
      </c>
      <c r="G1599" s="15" t="s">
        <v>17</v>
      </c>
      <c r="H1599" s="17">
        <v>46630</v>
      </c>
      <c r="I1599" s="17"/>
      <c r="J1599" s="18"/>
      <c r="K1599" t="str">
        <f t="shared" si="24"/>
        <v>DE1000-SDR41</v>
      </c>
      <c r="L1599">
        <f>VLOOKUP(K1599,'[1]Tarif - Evolution Marché'!$F:$N,9,0)</f>
        <v>196.81798734177218</v>
      </c>
    </row>
    <row r="1600" spans="1:12" x14ac:dyDescent="0.3">
      <c r="A1600" s="8" t="s">
        <v>21</v>
      </c>
      <c r="B1600" s="11">
        <v>1200</v>
      </c>
      <c r="C1600" s="11" t="s">
        <v>3</v>
      </c>
      <c r="D1600" s="11">
        <v>4</v>
      </c>
      <c r="E1600" s="21">
        <v>282.64999999999998</v>
      </c>
      <c r="F1600" s="11" t="s">
        <v>18</v>
      </c>
      <c r="G1600" s="11" t="s">
        <v>17</v>
      </c>
      <c r="H1600" s="12">
        <v>46630</v>
      </c>
      <c r="I1600" s="12"/>
      <c r="J1600" s="13"/>
      <c r="K1600" t="str">
        <f t="shared" si="24"/>
        <v>DE1200-SDR41</v>
      </c>
      <c r="L1600">
        <f>VLOOKUP(K1600,'[1]Tarif - Evolution Marché'!$F:$N,9,0)</f>
        <v>282.6503375527426</v>
      </c>
    </row>
    <row r="1601" spans="1:12" x14ac:dyDescent="0.3">
      <c r="A1601" s="14" t="s">
        <v>21</v>
      </c>
      <c r="B1601" s="15">
        <v>50</v>
      </c>
      <c r="C1601" s="15" t="s">
        <v>4</v>
      </c>
      <c r="D1601" s="15">
        <v>5</v>
      </c>
      <c r="E1601" s="21">
        <v>0.75</v>
      </c>
      <c r="F1601" s="15" t="s">
        <v>18</v>
      </c>
      <c r="G1601" s="15" t="s">
        <v>17</v>
      </c>
      <c r="H1601" s="17">
        <v>46630</v>
      </c>
      <c r="I1601" s="17"/>
      <c r="J1601" s="18"/>
      <c r="K1601" t="str">
        <f t="shared" si="24"/>
        <v>DE50-SDR33</v>
      </c>
      <c r="L1601">
        <f>VLOOKUP(K1601,'[1]Tarif - Evolution Marché'!$F:$N,9,0)</f>
        <v>0.75200548523206745</v>
      </c>
    </row>
    <row r="1602" spans="1:12" x14ac:dyDescent="0.3">
      <c r="A1602" s="8" t="s">
        <v>21</v>
      </c>
      <c r="B1602" s="11">
        <v>63</v>
      </c>
      <c r="C1602" s="11" t="s">
        <v>4</v>
      </c>
      <c r="D1602" s="11">
        <v>5</v>
      </c>
      <c r="E1602" s="21">
        <v>1.05</v>
      </c>
      <c r="F1602" s="11" t="s">
        <v>18</v>
      </c>
      <c r="G1602" s="11" t="s">
        <v>17</v>
      </c>
      <c r="H1602" s="12">
        <v>46630</v>
      </c>
      <c r="I1602" s="12"/>
      <c r="J1602" s="13"/>
      <c r="K1602" t="str">
        <f t="shared" si="24"/>
        <v>DE63-SDR33</v>
      </c>
      <c r="L1602">
        <f>VLOOKUP(K1602,'[1]Tarif - Evolution Marché'!$F:$N,9,0)</f>
        <v>1.0450283122362871</v>
      </c>
    </row>
    <row r="1603" spans="1:12" x14ac:dyDescent="0.3">
      <c r="A1603" s="14" t="s">
        <v>21</v>
      </c>
      <c r="B1603" s="15">
        <v>75</v>
      </c>
      <c r="C1603" s="15" t="s">
        <v>4</v>
      </c>
      <c r="D1603" s="15">
        <v>5</v>
      </c>
      <c r="E1603" s="21">
        <v>1.44</v>
      </c>
      <c r="F1603" s="15" t="s">
        <v>18</v>
      </c>
      <c r="G1603" s="15" t="s">
        <v>17</v>
      </c>
      <c r="H1603" s="17">
        <v>46630</v>
      </c>
      <c r="I1603" s="17"/>
      <c r="J1603" s="18"/>
      <c r="K1603" t="str">
        <f t="shared" ref="K1603:K1666" si="25">CONCATENATE("DE",B1603,"-",C1603)</f>
        <v>DE75-SDR33</v>
      </c>
      <c r="L1603">
        <f>VLOOKUP(K1603,'[1]Tarif - Evolution Marché'!$F:$N,9,0)</f>
        <v>1.4443691561181435</v>
      </c>
    </row>
    <row r="1604" spans="1:12" x14ac:dyDescent="0.3">
      <c r="A1604" s="8" t="s">
        <v>21</v>
      </c>
      <c r="B1604" s="11">
        <v>90</v>
      </c>
      <c r="C1604" s="11" t="s">
        <v>4</v>
      </c>
      <c r="D1604" s="11">
        <v>5</v>
      </c>
      <c r="E1604" s="21">
        <v>2.0699999999999998</v>
      </c>
      <c r="F1604" s="11" t="s">
        <v>18</v>
      </c>
      <c r="G1604" s="11" t="s">
        <v>17</v>
      </c>
      <c r="H1604" s="12">
        <v>46630</v>
      </c>
      <c r="I1604" s="12"/>
      <c r="J1604" s="13"/>
      <c r="K1604" t="str">
        <f t="shared" si="25"/>
        <v>DE90-SDR33</v>
      </c>
      <c r="L1604">
        <f>VLOOKUP(K1604,'[1]Tarif - Evolution Marché'!$F:$N,9,0)</f>
        <v>2.0744978902953588</v>
      </c>
    </row>
    <row r="1605" spans="1:12" x14ac:dyDescent="0.3">
      <c r="A1605" s="14" t="s">
        <v>21</v>
      </c>
      <c r="B1605" s="15">
        <v>110</v>
      </c>
      <c r="C1605" s="15" t="s">
        <v>4</v>
      </c>
      <c r="D1605" s="15">
        <v>5</v>
      </c>
      <c r="E1605" s="21">
        <v>3.09</v>
      </c>
      <c r="F1605" s="15" t="s">
        <v>18</v>
      </c>
      <c r="G1605" s="15" t="s">
        <v>17</v>
      </c>
      <c r="H1605" s="17">
        <v>46630</v>
      </c>
      <c r="I1605" s="17"/>
      <c r="J1605" s="18"/>
      <c r="K1605" t="str">
        <f t="shared" si="25"/>
        <v>DE110-SDR33</v>
      </c>
      <c r="L1605">
        <f>VLOOKUP(K1605,'[1]Tarif - Evolution Marché'!$F:$N,9,0)</f>
        <v>3.085815611814346</v>
      </c>
    </row>
    <row r="1606" spans="1:12" x14ac:dyDescent="0.3">
      <c r="A1606" s="8" t="s">
        <v>21</v>
      </c>
      <c r="B1606" s="11">
        <v>125</v>
      </c>
      <c r="C1606" s="11" t="s">
        <v>4</v>
      </c>
      <c r="D1606" s="11">
        <v>5</v>
      </c>
      <c r="E1606" s="21">
        <v>3.97</v>
      </c>
      <c r="F1606" s="11" t="s">
        <v>18</v>
      </c>
      <c r="G1606" s="11" t="s">
        <v>17</v>
      </c>
      <c r="H1606" s="12">
        <v>46630</v>
      </c>
      <c r="I1606" s="12"/>
      <c r="J1606" s="13"/>
      <c r="K1606" t="str">
        <f t="shared" si="25"/>
        <v>DE125-SDR33</v>
      </c>
      <c r="L1606">
        <f>VLOOKUP(K1606,'[1]Tarif - Evolution Marché'!$F:$N,9,0)</f>
        <v>3.9674772151898736</v>
      </c>
    </row>
    <row r="1607" spans="1:12" x14ac:dyDescent="0.3">
      <c r="A1607" s="14" t="s">
        <v>21</v>
      </c>
      <c r="B1607" s="15">
        <v>140</v>
      </c>
      <c r="C1607" s="15" t="s">
        <v>4</v>
      </c>
      <c r="D1607" s="15">
        <v>5</v>
      </c>
      <c r="E1607" s="21">
        <v>4.93</v>
      </c>
      <c r="F1607" s="15" t="s">
        <v>18</v>
      </c>
      <c r="G1607" s="15" t="s">
        <v>17</v>
      </c>
      <c r="H1607" s="17">
        <v>46630</v>
      </c>
      <c r="I1607" s="17"/>
      <c r="J1607" s="18"/>
      <c r="K1607" t="str">
        <f t="shared" si="25"/>
        <v>DE140-SDR33</v>
      </c>
      <c r="L1607">
        <f>VLOOKUP(K1607,'[1]Tarif - Evolution Marché'!$F:$N,9,0)</f>
        <v>4.9269324894514765</v>
      </c>
    </row>
    <row r="1608" spans="1:12" x14ac:dyDescent="0.3">
      <c r="A1608" s="8" t="s">
        <v>21</v>
      </c>
      <c r="B1608" s="11">
        <v>160</v>
      </c>
      <c r="C1608" s="11" t="s">
        <v>4</v>
      </c>
      <c r="D1608" s="11">
        <v>5</v>
      </c>
      <c r="E1608" s="21">
        <v>6.35</v>
      </c>
      <c r="F1608" s="11" t="s">
        <v>18</v>
      </c>
      <c r="G1608" s="11" t="s">
        <v>17</v>
      </c>
      <c r="H1608" s="12">
        <v>46630</v>
      </c>
      <c r="I1608" s="12"/>
      <c r="J1608" s="13"/>
      <c r="K1608" t="str">
        <f t="shared" si="25"/>
        <v>DE160-SDR33</v>
      </c>
      <c r="L1608">
        <f>VLOOKUP(K1608,'[1]Tarif - Evolution Marché'!$F:$N,9,0)</f>
        <v>6.3531497890295361</v>
      </c>
    </row>
    <row r="1609" spans="1:12" x14ac:dyDescent="0.3">
      <c r="A1609" s="14" t="s">
        <v>21</v>
      </c>
      <c r="B1609" s="15">
        <v>180</v>
      </c>
      <c r="C1609" s="15" t="s">
        <v>4</v>
      </c>
      <c r="D1609" s="15">
        <v>5</v>
      </c>
      <c r="E1609" s="21">
        <v>8.0399999999999991</v>
      </c>
      <c r="F1609" s="15" t="s">
        <v>18</v>
      </c>
      <c r="G1609" s="15" t="s">
        <v>17</v>
      </c>
      <c r="H1609" s="17">
        <v>46630</v>
      </c>
      <c r="I1609" s="17"/>
      <c r="J1609" s="18"/>
      <c r="K1609" t="str">
        <f t="shared" si="25"/>
        <v>DE180-SDR33</v>
      </c>
      <c r="L1609">
        <f>VLOOKUP(K1609,'[1]Tarif - Evolution Marché'!$F:$N,9,0)</f>
        <v>8.038679324894515</v>
      </c>
    </row>
    <row r="1610" spans="1:12" x14ac:dyDescent="0.3">
      <c r="A1610" s="8" t="s">
        <v>21</v>
      </c>
      <c r="B1610" s="11">
        <v>200</v>
      </c>
      <c r="C1610" s="11" t="s">
        <v>4</v>
      </c>
      <c r="D1610" s="11">
        <v>5</v>
      </c>
      <c r="E1610" s="21">
        <v>10.06</v>
      </c>
      <c r="F1610" s="11" t="s">
        <v>18</v>
      </c>
      <c r="G1610" s="11" t="s">
        <v>17</v>
      </c>
      <c r="H1610" s="12">
        <v>46630</v>
      </c>
      <c r="I1610" s="12"/>
      <c r="J1610" s="13"/>
      <c r="K1610" t="str">
        <f t="shared" si="25"/>
        <v>DE200-SDR33</v>
      </c>
      <c r="L1610">
        <f>VLOOKUP(K1610,'[1]Tarif - Evolution Marché'!$F:$N,9,0)</f>
        <v>10.06131476793249</v>
      </c>
    </row>
    <row r="1611" spans="1:12" x14ac:dyDescent="0.3">
      <c r="A1611" s="14" t="s">
        <v>21</v>
      </c>
      <c r="B1611" s="15">
        <v>225</v>
      </c>
      <c r="C1611" s="15" t="s">
        <v>4</v>
      </c>
      <c r="D1611" s="15">
        <v>5</v>
      </c>
      <c r="E1611" s="21">
        <v>12.5</v>
      </c>
      <c r="F1611" s="15" t="s">
        <v>18</v>
      </c>
      <c r="G1611" s="15" t="s">
        <v>17</v>
      </c>
      <c r="H1611" s="17">
        <v>46630</v>
      </c>
      <c r="I1611" s="17"/>
      <c r="J1611" s="18"/>
      <c r="K1611" t="str">
        <f t="shared" si="25"/>
        <v>DE225-SDR33</v>
      </c>
      <c r="L1611">
        <f>VLOOKUP(K1611,'[1]Tarif - Evolution Marché'!$F:$N,9,0)</f>
        <v>12.498849789029537</v>
      </c>
    </row>
    <row r="1612" spans="1:12" x14ac:dyDescent="0.3">
      <c r="A1612" s="8" t="s">
        <v>21</v>
      </c>
      <c r="B1612" s="11">
        <v>250</v>
      </c>
      <c r="C1612" s="11" t="s">
        <v>4</v>
      </c>
      <c r="D1612" s="11">
        <v>5</v>
      </c>
      <c r="E1612" s="21">
        <v>15.51</v>
      </c>
      <c r="F1612" s="11" t="s">
        <v>18</v>
      </c>
      <c r="G1612" s="11" t="s">
        <v>17</v>
      </c>
      <c r="H1612" s="12">
        <v>46630</v>
      </c>
      <c r="I1612" s="12"/>
      <c r="J1612" s="13"/>
      <c r="K1612" t="str">
        <f t="shared" si="25"/>
        <v>DE250-SDR33</v>
      </c>
      <c r="L1612">
        <f>VLOOKUP(K1612,'[1]Tarif - Evolution Marché'!$F:$N,9,0)</f>
        <v>15.506871729957808</v>
      </c>
    </row>
    <row r="1613" spans="1:12" x14ac:dyDescent="0.3">
      <c r="A1613" s="14" t="s">
        <v>21</v>
      </c>
      <c r="B1613" s="15">
        <v>280</v>
      </c>
      <c r="C1613" s="15" t="s">
        <v>4</v>
      </c>
      <c r="D1613" s="15">
        <v>5</v>
      </c>
      <c r="E1613" s="21">
        <v>19.37</v>
      </c>
      <c r="F1613" s="15" t="s">
        <v>18</v>
      </c>
      <c r="G1613" s="15" t="s">
        <v>17</v>
      </c>
      <c r="H1613" s="17">
        <v>46630</v>
      </c>
      <c r="I1613" s="17"/>
      <c r="J1613" s="18"/>
      <c r="K1613" t="str">
        <f t="shared" si="25"/>
        <v>DE280-SDR33</v>
      </c>
      <c r="L1613">
        <f>VLOOKUP(K1613,'[1]Tarif - Evolution Marché'!$F:$N,9,0)</f>
        <v>19.370624050632912</v>
      </c>
    </row>
    <row r="1614" spans="1:12" x14ac:dyDescent="0.3">
      <c r="A1614" s="8" t="s">
        <v>21</v>
      </c>
      <c r="B1614" s="11">
        <v>315</v>
      </c>
      <c r="C1614" s="11" t="s">
        <v>4</v>
      </c>
      <c r="D1614" s="11">
        <v>5</v>
      </c>
      <c r="E1614" s="21">
        <v>24.56</v>
      </c>
      <c r="F1614" s="11" t="s">
        <v>18</v>
      </c>
      <c r="G1614" s="11" t="s">
        <v>17</v>
      </c>
      <c r="H1614" s="12">
        <v>46630</v>
      </c>
      <c r="I1614" s="12"/>
      <c r="J1614" s="13"/>
      <c r="K1614" t="str">
        <f t="shared" si="25"/>
        <v>DE315-SDR33</v>
      </c>
      <c r="L1614">
        <f>VLOOKUP(K1614,'[1]Tarif - Evolution Marché'!$F:$N,9,0)</f>
        <v>24.55686877637131</v>
      </c>
    </row>
    <row r="1615" spans="1:12" x14ac:dyDescent="0.3">
      <c r="A1615" s="14" t="s">
        <v>21</v>
      </c>
      <c r="B1615" s="15">
        <v>355</v>
      </c>
      <c r="C1615" s="15" t="s">
        <v>4</v>
      </c>
      <c r="D1615" s="15">
        <v>5</v>
      </c>
      <c r="E1615" s="21">
        <v>31.12</v>
      </c>
      <c r="F1615" s="15" t="s">
        <v>18</v>
      </c>
      <c r="G1615" s="15" t="s">
        <v>17</v>
      </c>
      <c r="H1615" s="17">
        <v>46630</v>
      </c>
      <c r="I1615" s="17"/>
      <c r="J1615" s="18"/>
      <c r="K1615" t="str">
        <f t="shared" si="25"/>
        <v>DE355-SDR33</v>
      </c>
      <c r="L1615">
        <f>VLOOKUP(K1615,'[1]Tarif - Evolution Marché'!$F:$N,9,0)</f>
        <v>31.117468354430379</v>
      </c>
    </row>
    <row r="1616" spans="1:12" x14ac:dyDescent="0.3">
      <c r="A1616" s="8" t="s">
        <v>21</v>
      </c>
      <c r="B1616" s="11">
        <v>400</v>
      </c>
      <c r="C1616" s="11" t="s">
        <v>4</v>
      </c>
      <c r="D1616" s="11">
        <v>5</v>
      </c>
      <c r="E1616" s="21">
        <v>39.42</v>
      </c>
      <c r="F1616" s="11" t="s">
        <v>18</v>
      </c>
      <c r="G1616" s="11" t="s">
        <v>17</v>
      </c>
      <c r="H1616" s="12">
        <v>46630</v>
      </c>
      <c r="I1616" s="12"/>
      <c r="J1616" s="13"/>
      <c r="K1616" t="str">
        <f t="shared" si="25"/>
        <v>DE400-SDR33</v>
      </c>
      <c r="L1616">
        <f>VLOOKUP(K1616,'[1]Tarif - Evolution Marché'!$F:$N,9,0)</f>
        <v>39.415459915611812</v>
      </c>
    </row>
    <row r="1617" spans="1:12" x14ac:dyDescent="0.3">
      <c r="A1617" s="14" t="s">
        <v>21</v>
      </c>
      <c r="B1617" s="15">
        <v>450</v>
      </c>
      <c r="C1617" s="15" t="s">
        <v>4</v>
      </c>
      <c r="D1617" s="15">
        <v>5</v>
      </c>
      <c r="E1617" s="21">
        <v>49.79</v>
      </c>
      <c r="F1617" s="15" t="s">
        <v>18</v>
      </c>
      <c r="G1617" s="15" t="s">
        <v>17</v>
      </c>
      <c r="H1617" s="17">
        <v>46630</v>
      </c>
      <c r="I1617" s="17"/>
      <c r="J1617" s="18"/>
      <c r="K1617" t="str">
        <f t="shared" si="25"/>
        <v>DE450-SDR33</v>
      </c>
      <c r="L1617">
        <f>VLOOKUP(K1617,'[1]Tarif - Evolution Marché'!$F:$N,9,0)</f>
        <v>49.787949367088608</v>
      </c>
    </row>
    <row r="1618" spans="1:12" x14ac:dyDescent="0.3">
      <c r="A1618" s="8" t="s">
        <v>21</v>
      </c>
      <c r="B1618" s="11">
        <v>500</v>
      </c>
      <c r="C1618" s="11" t="s">
        <v>4</v>
      </c>
      <c r="D1618" s="11">
        <v>5</v>
      </c>
      <c r="E1618" s="21">
        <v>61.2</v>
      </c>
      <c r="F1618" s="11" t="s">
        <v>18</v>
      </c>
      <c r="G1618" s="11" t="s">
        <v>17</v>
      </c>
      <c r="H1618" s="12">
        <v>46630</v>
      </c>
      <c r="I1618" s="12"/>
      <c r="J1618" s="13"/>
      <c r="K1618" t="str">
        <f t="shared" si="25"/>
        <v>DE500-SDR33</v>
      </c>
      <c r="L1618">
        <f>VLOOKUP(K1618,'[1]Tarif - Evolution Marché'!$F:$N,9,0)</f>
        <v>61.197687763713084</v>
      </c>
    </row>
    <row r="1619" spans="1:12" x14ac:dyDescent="0.3">
      <c r="A1619" s="14" t="s">
        <v>21</v>
      </c>
      <c r="B1619" s="15">
        <v>560</v>
      </c>
      <c r="C1619" s="15" t="s">
        <v>4</v>
      </c>
      <c r="D1619" s="15">
        <v>5</v>
      </c>
      <c r="E1619" s="21">
        <v>77.02</v>
      </c>
      <c r="F1619" s="15" t="s">
        <v>18</v>
      </c>
      <c r="G1619" s="15" t="s">
        <v>17</v>
      </c>
      <c r="H1619" s="17">
        <v>46630</v>
      </c>
      <c r="I1619" s="17"/>
      <c r="J1619" s="18"/>
      <c r="K1619" t="str">
        <f t="shared" si="25"/>
        <v>DE560-SDR33</v>
      </c>
      <c r="L1619">
        <f>VLOOKUP(K1619,'[1]Tarif - Evolution Marché'!$F:$N,9,0)</f>
        <v>77.015734177215194</v>
      </c>
    </row>
    <row r="1620" spans="1:12" x14ac:dyDescent="0.3">
      <c r="A1620" s="8" t="s">
        <v>21</v>
      </c>
      <c r="B1620" s="11">
        <v>630</v>
      </c>
      <c r="C1620" s="11" t="s">
        <v>4</v>
      </c>
      <c r="D1620" s="11">
        <v>5</v>
      </c>
      <c r="E1620" s="21">
        <v>97.24</v>
      </c>
      <c r="F1620" s="11" t="s">
        <v>18</v>
      </c>
      <c r="G1620" s="11" t="s">
        <v>17</v>
      </c>
      <c r="H1620" s="12">
        <v>46630</v>
      </c>
      <c r="I1620" s="12"/>
      <c r="J1620" s="13"/>
      <c r="K1620" t="str">
        <f t="shared" si="25"/>
        <v>DE630-SDR33</v>
      </c>
      <c r="L1620">
        <f>VLOOKUP(K1620,'[1]Tarif - Evolution Marché'!$F:$N,9,0)</f>
        <v>97.242088607594937</v>
      </c>
    </row>
    <row r="1621" spans="1:12" x14ac:dyDescent="0.3">
      <c r="A1621" s="14" t="s">
        <v>21</v>
      </c>
      <c r="B1621" s="15">
        <v>710</v>
      </c>
      <c r="C1621" s="15" t="s">
        <v>4</v>
      </c>
      <c r="D1621" s="15">
        <v>5</v>
      </c>
      <c r="E1621" s="21">
        <v>123.69</v>
      </c>
      <c r="F1621" s="15" t="s">
        <v>18</v>
      </c>
      <c r="G1621" s="15" t="s">
        <v>17</v>
      </c>
      <c r="H1621" s="17">
        <v>46630</v>
      </c>
      <c r="I1621" s="17"/>
      <c r="J1621" s="18"/>
      <c r="K1621" t="str">
        <f t="shared" si="25"/>
        <v>DE710-SDR33</v>
      </c>
      <c r="L1621">
        <f>VLOOKUP(K1621,'[1]Tarif - Evolution Marché'!$F:$N,9,0)</f>
        <v>123.69193670886077</v>
      </c>
    </row>
    <row r="1622" spans="1:12" x14ac:dyDescent="0.3">
      <c r="A1622" s="8" t="s">
        <v>21</v>
      </c>
      <c r="B1622" s="11">
        <v>800</v>
      </c>
      <c r="C1622" s="11" t="s">
        <v>4</v>
      </c>
      <c r="D1622" s="11">
        <v>5</v>
      </c>
      <c r="E1622" s="21">
        <v>156.62</v>
      </c>
      <c r="F1622" s="11" t="s">
        <v>18</v>
      </c>
      <c r="G1622" s="11" t="s">
        <v>17</v>
      </c>
      <c r="H1622" s="12">
        <v>46630</v>
      </c>
      <c r="I1622" s="12"/>
      <c r="J1622" s="13"/>
      <c r="K1622" t="str">
        <f t="shared" si="25"/>
        <v>DE800-SDR33</v>
      </c>
      <c r="L1622">
        <f>VLOOKUP(K1622,'[1]Tarif - Evolution Marché'!$F:$N,9,0)</f>
        <v>156.62459071729958</v>
      </c>
    </row>
    <row r="1623" spans="1:12" x14ac:dyDescent="0.3">
      <c r="A1623" s="14" t="s">
        <v>21</v>
      </c>
      <c r="B1623" s="15">
        <v>900</v>
      </c>
      <c r="C1623" s="15" t="s">
        <v>4</v>
      </c>
      <c r="D1623" s="15">
        <v>5</v>
      </c>
      <c r="E1623" s="21">
        <v>198.11</v>
      </c>
      <c r="F1623" s="15" t="s">
        <v>18</v>
      </c>
      <c r="G1623" s="15" t="s">
        <v>17</v>
      </c>
      <c r="H1623" s="17">
        <v>46630</v>
      </c>
      <c r="I1623" s="17"/>
      <c r="J1623" s="18"/>
      <c r="K1623" t="str">
        <f t="shared" si="25"/>
        <v>DE900-SDR33</v>
      </c>
      <c r="L1623">
        <f>VLOOKUP(K1623,'[1]Tarif - Evolution Marché'!$F:$N,9,0)</f>
        <v>198.11454852320676</v>
      </c>
    </row>
    <row r="1624" spans="1:12" x14ac:dyDescent="0.3">
      <c r="A1624" s="8" t="s">
        <v>21</v>
      </c>
      <c r="B1624" s="11">
        <v>1000</v>
      </c>
      <c r="C1624" s="11" t="s">
        <v>4</v>
      </c>
      <c r="D1624" s="11">
        <v>5</v>
      </c>
      <c r="E1624" s="21">
        <v>244.01</v>
      </c>
      <c r="F1624" s="11" t="s">
        <v>18</v>
      </c>
      <c r="G1624" s="11" t="s">
        <v>17</v>
      </c>
      <c r="H1624" s="12">
        <v>46630</v>
      </c>
      <c r="I1624" s="12"/>
      <c r="J1624" s="13"/>
      <c r="K1624" t="str">
        <f t="shared" si="25"/>
        <v>DE1000-SDR33</v>
      </c>
      <c r="L1624">
        <f>VLOOKUP(K1624,'[1]Tarif - Evolution Marché'!$F:$N,9,0)</f>
        <v>244.01281434599156</v>
      </c>
    </row>
    <row r="1625" spans="1:12" x14ac:dyDescent="0.3">
      <c r="A1625" s="14" t="s">
        <v>21</v>
      </c>
      <c r="B1625" s="15">
        <v>1200</v>
      </c>
      <c r="C1625" s="15" t="s">
        <v>4</v>
      </c>
      <c r="D1625" s="15">
        <v>5</v>
      </c>
      <c r="E1625" s="21">
        <v>350.07</v>
      </c>
      <c r="F1625" s="15" t="s">
        <v>18</v>
      </c>
      <c r="G1625" s="15" t="s">
        <v>17</v>
      </c>
      <c r="H1625" s="17">
        <v>46630</v>
      </c>
      <c r="I1625" s="17"/>
      <c r="J1625" s="18"/>
      <c r="K1625" t="str">
        <f t="shared" si="25"/>
        <v>DE1200-SDR33</v>
      </c>
      <c r="L1625">
        <f>VLOOKUP(K1625,'[1]Tarif - Evolution Marché'!$F:$N,9,0)</f>
        <v>350.07151898734179</v>
      </c>
    </row>
    <row r="1626" spans="1:12" x14ac:dyDescent="0.3">
      <c r="A1626" s="8" t="s">
        <v>21</v>
      </c>
      <c r="B1626" s="11">
        <v>40</v>
      </c>
      <c r="C1626" s="11" t="s">
        <v>5</v>
      </c>
      <c r="D1626" s="11">
        <v>6</v>
      </c>
      <c r="E1626" s="21">
        <v>0.59</v>
      </c>
      <c r="F1626" s="11" t="s">
        <v>18</v>
      </c>
      <c r="G1626" s="11" t="s">
        <v>17</v>
      </c>
      <c r="H1626" s="12">
        <v>46630</v>
      </c>
      <c r="I1626" s="12"/>
      <c r="J1626" s="13"/>
      <c r="K1626" t="str">
        <f t="shared" si="25"/>
        <v>DE40-SDR26</v>
      </c>
      <c r="L1626">
        <f>VLOOKUP(K1626,'[1]Tarif - Evolution Marché'!$F:$N,9,0)</f>
        <v>0.59382502109704649</v>
      </c>
    </row>
    <row r="1627" spans="1:12" x14ac:dyDescent="0.3">
      <c r="A1627" s="14" t="s">
        <v>21</v>
      </c>
      <c r="B1627" s="15">
        <v>50</v>
      </c>
      <c r="C1627" s="15" t="s">
        <v>5</v>
      </c>
      <c r="D1627" s="15">
        <v>6</v>
      </c>
      <c r="E1627" s="21">
        <v>0.82</v>
      </c>
      <c r="F1627" s="15" t="s">
        <v>18</v>
      </c>
      <c r="G1627" s="15" t="s">
        <v>17</v>
      </c>
      <c r="H1627" s="17">
        <v>46630</v>
      </c>
      <c r="I1627" s="17"/>
      <c r="J1627" s="18"/>
      <c r="K1627" t="str">
        <f t="shared" si="25"/>
        <v>DE50-SDR26</v>
      </c>
      <c r="L1627">
        <f>VLOOKUP(K1627,'[1]Tarif - Evolution Marché'!$F:$N,9,0)</f>
        <v>0.82201978902953587</v>
      </c>
    </row>
    <row r="1628" spans="1:12" x14ac:dyDescent="0.3">
      <c r="A1628" s="8" t="s">
        <v>21</v>
      </c>
      <c r="B1628" s="11">
        <v>63</v>
      </c>
      <c r="C1628" s="11" t="s">
        <v>5</v>
      </c>
      <c r="D1628" s="11">
        <v>6</v>
      </c>
      <c r="E1628" s="21">
        <v>1.3</v>
      </c>
      <c r="F1628" s="11" t="s">
        <v>18</v>
      </c>
      <c r="G1628" s="11" t="s">
        <v>17</v>
      </c>
      <c r="H1628" s="12">
        <v>46630</v>
      </c>
      <c r="I1628" s="12"/>
      <c r="J1628" s="13"/>
      <c r="K1628" t="str">
        <f t="shared" si="25"/>
        <v>DE63-SDR26</v>
      </c>
      <c r="L1628">
        <f>VLOOKUP(K1628,'[1]Tarif - Evolution Marché'!$F:$N,9,0)</f>
        <v>1.2965611814345992</v>
      </c>
    </row>
    <row r="1629" spans="1:12" x14ac:dyDescent="0.3">
      <c r="A1629" s="14" t="s">
        <v>21</v>
      </c>
      <c r="B1629" s="15">
        <v>75</v>
      </c>
      <c r="C1629" s="15" t="s">
        <v>5</v>
      </c>
      <c r="D1629" s="15">
        <v>6</v>
      </c>
      <c r="E1629" s="21">
        <v>1.77</v>
      </c>
      <c r="F1629" s="15" t="s">
        <v>18</v>
      </c>
      <c r="G1629" s="15" t="s">
        <v>17</v>
      </c>
      <c r="H1629" s="17">
        <v>46630</v>
      </c>
      <c r="I1629" s="17"/>
      <c r="J1629" s="18"/>
      <c r="K1629" t="str">
        <f t="shared" si="25"/>
        <v>DE75-SDR26</v>
      </c>
      <c r="L1629">
        <f>VLOOKUP(K1629,'[1]Tarif - Evolution Marché'!$F:$N,9,0)</f>
        <v>1.7711025738396626</v>
      </c>
    </row>
    <row r="1630" spans="1:12" x14ac:dyDescent="0.3">
      <c r="A1630" s="8" t="s">
        <v>21</v>
      </c>
      <c r="B1630" s="11">
        <v>90</v>
      </c>
      <c r="C1630" s="11" t="s">
        <v>5</v>
      </c>
      <c r="D1630" s="11">
        <v>6</v>
      </c>
      <c r="E1630" s="21">
        <v>2.56</v>
      </c>
      <c r="F1630" s="11" t="s">
        <v>18</v>
      </c>
      <c r="G1630" s="11" t="s">
        <v>17</v>
      </c>
      <c r="H1630" s="12">
        <v>46630</v>
      </c>
      <c r="I1630" s="12"/>
      <c r="J1630" s="13"/>
      <c r="K1630" t="str">
        <f t="shared" si="25"/>
        <v>DE90-SDR26</v>
      </c>
      <c r="L1630">
        <f>VLOOKUP(K1630,'[1]Tarif - Evolution Marché'!$F:$N,9,0)</f>
        <v>2.562004894514768</v>
      </c>
    </row>
    <row r="1631" spans="1:12" x14ac:dyDescent="0.3">
      <c r="A1631" s="14" t="s">
        <v>21</v>
      </c>
      <c r="B1631" s="15">
        <v>110</v>
      </c>
      <c r="C1631" s="15" t="s">
        <v>5</v>
      </c>
      <c r="D1631" s="15">
        <v>6</v>
      </c>
      <c r="E1631" s="21">
        <v>3.76</v>
      </c>
      <c r="F1631" s="15" t="s">
        <v>18</v>
      </c>
      <c r="G1631" s="15" t="s">
        <v>17</v>
      </c>
      <c r="H1631" s="17">
        <v>46630</v>
      </c>
      <c r="I1631" s="17"/>
      <c r="J1631" s="18"/>
      <c r="K1631" t="str">
        <f t="shared" si="25"/>
        <v>DE110-SDR26</v>
      </c>
      <c r="L1631">
        <f>VLOOKUP(K1631,'[1]Tarif - Evolution Marché'!$F:$N,9,0)</f>
        <v>3.7600274261603377</v>
      </c>
    </row>
    <row r="1632" spans="1:12" x14ac:dyDescent="0.3">
      <c r="A1632" s="8" t="s">
        <v>21</v>
      </c>
      <c r="B1632" s="11">
        <v>125</v>
      </c>
      <c r="C1632" s="11" t="s">
        <v>5</v>
      </c>
      <c r="D1632" s="11">
        <v>6</v>
      </c>
      <c r="E1632" s="21">
        <v>4.82</v>
      </c>
      <c r="F1632" s="11" t="s">
        <v>18</v>
      </c>
      <c r="G1632" s="11" t="s">
        <v>17</v>
      </c>
      <c r="H1632" s="12">
        <v>46630</v>
      </c>
      <c r="I1632" s="12"/>
      <c r="J1632" s="13"/>
      <c r="K1632" t="str">
        <f t="shared" si="25"/>
        <v>DE125-SDR26</v>
      </c>
      <c r="L1632">
        <f>VLOOKUP(K1632,'[1]Tarif - Evolution Marché'!$F:$N,9,0)</f>
        <v>4.8232075949367097</v>
      </c>
    </row>
    <row r="1633" spans="1:12" x14ac:dyDescent="0.3">
      <c r="A1633" s="14" t="s">
        <v>21</v>
      </c>
      <c r="B1633" s="15">
        <v>140</v>
      </c>
      <c r="C1633" s="15" t="s">
        <v>5</v>
      </c>
      <c r="D1633" s="15">
        <v>6</v>
      </c>
      <c r="E1633" s="21">
        <v>6.09</v>
      </c>
      <c r="F1633" s="15" t="s">
        <v>18</v>
      </c>
      <c r="G1633" s="15" t="s">
        <v>17</v>
      </c>
      <c r="H1633" s="17">
        <v>46630</v>
      </c>
      <c r="I1633" s="17"/>
      <c r="J1633" s="18"/>
      <c r="K1633" t="str">
        <f t="shared" si="25"/>
        <v>DE140-SDR26</v>
      </c>
      <c r="L1633">
        <f>VLOOKUP(K1633,'[1]Tarif - Evolution Marché'!$F:$N,9,0)</f>
        <v>6.0938375527426167</v>
      </c>
    </row>
    <row r="1634" spans="1:12" x14ac:dyDescent="0.3">
      <c r="A1634" s="8" t="s">
        <v>21</v>
      </c>
      <c r="B1634" s="11">
        <v>160</v>
      </c>
      <c r="C1634" s="11" t="s">
        <v>5</v>
      </c>
      <c r="D1634" s="11">
        <v>6</v>
      </c>
      <c r="E1634" s="21">
        <v>7.99</v>
      </c>
      <c r="F1634" s="11" t="s">
        <v>18</v>
      </c>
      <c r="G1634" s="11" t="s">
        <v>17</v>
      </c>
      <c r="H1634" s="12">
        <v>46630</v>
      </c>
      <c r="I1634" s="12"/>
      <c r="J1634" s="13"/>
      <c r="K1634" t="str">
        <f t="shared" si="25"/>
        <v>DE160-SDR26</v>
      </c>
      <c r="L1634">
        <f>VLOOKUP(K1634,'[1]Tarif - Evolution Marché'!$F:$N,9,0)</f>
        <v>7.9868168776371311</v>
      </c>
    </row>
    <row r="1635" spans="1:12" x14ac:dyDescent="0.3">
      <c r="A1635" s="14" t="s">
        <v>21</v>
      </c>
      <c r="B1635" s="15">
        <v>180</v>
      </c>
      <c r="C1635" s="15" t="s">
        <v>5</v>
      </c>
      <c r="D1635" s="15">
        <v>6</v>
      </c>
      <c r="E1635" s="21">
        <v>9.93</v>
      </c>
      <c r="F1635" s="15" t="s">
        <v>18</v>
      </c>
      <c r="G1635" s="15" t="s">
        <v>17</v>
      </c>
      <c r="H1635" s="17">
        <v>46630</v>
      </c>
      <c r="I1635" s="17"/>
      <c r="J1635" s="18"/>
      <c r="K1635" t="str">
        <f t="shared" si="25"/>
        <v>DE180-SDR26</v>
      </c>
      <c r="L1635">
        <f>VLOOKUP(K1635,'[1]Tarif - Evolution Marché'!$F:$N,9,0)</f>
        <v>9.9316586497890302</v>
      </c>
    </row>
    <row r="1636" spans="1:12" x14ac:dyDescent="0.3">
      <c r="A1636" s="8" t="s">
        <v>21</v>
      </c>
      <c r="B1636" s="11">
        <v>200</v>
      </c>
      <c r="C1636" s="11" t="s">
        <v>5</v>
      </c>
      <c r="D1636" s="11">
        <v>6</v>
      </c>
      <c r="E1636" s="21">
        <v>12.29</v>
      </c>
      <c r="F1636" s="11" t="s">
        <v>18</v>
      </c>
      <c r="G1636" s="11" t="s">
        <v>17</v>
      </c>
      <c r="H1636" s="12">
        <v>46630</v>
      </c>
      <c r="I1636" s="12"/>
      <c r="J1636" s="13"/>
      <c r="K1636" t="str">
        <f t="shared" si="25"/>
        <v>DE200-SDR26</v>
      </c>
      <c r="L1636">
        <f>VLOOKUP(K1636,'[1]Tarif - Evolution Marché'!$F:$N,9,0)</f>
        <v>12.291400000000001</v>
      </c>
    </row>
    <row r="1637" spans="1:12" x14ac:dyDescent="0.3">
      <c r="A1637" s="14" t="s">
        <v>21</v>
      </c>
      <c r="B1637" s="15">
        <v>225</v>
      </c>
      <c r="C1637" s="15" t="s">
        <v>5</v>
      </c>
      <c r="D1637" s="15">
        <v>6</v>
      </c>
      <c r="E1637" s="21">
        <v>15.46</v>
      </c>
      <c r="F1637" s="15" t="s">
        <v>18</v>
      </c>
      <c r="G1637" s="15" t="s">
        <v>17</v>
      </c>
      <c r="H1637" s="17">
        <v>46630</v>
      </c>
      <c r="I1637" s="17"/>
      <c r="J1637" s="18"/>
      <c r="K1637" t="str">
        <f t="shared" si="25"/>
        <v>DE225-SDR26</v>
      </c>
      <c r="L1637">
        <f>VLOOKUP(K1637,'[1]Tarif - Evolution Marché'!$F:$N,9,0)</f>
        <v>15.455009282700422</v>
      </c>
    </row>
    <row r="1638" spans="1:12" x14ac:dyDescent="0.3">
      <c r="A1638" s="8" t="s">
        <v>21</v>
      </c>
      <c r="B1638" s="11">
        <v>250</v>
      </c>
      <c r="C1638" s="11" t="s">
        <v>5</v>
      </c>
      <c r="D1638" s="11">
        <v>6</v>
      </c>
      <c r="E1638" s="21">
        <v>19.14</v>
      </c>
      <c r="F1638" s="11" t="s">
        <v>18</v>
      </c>
      <c r="G1638" s="11" t="s">
        <v>17</v>
      </c>
      <c r="H1638" s="12">
        <v>46630</v>
      </c>
      <c r="I1638" s="12"/>
      <c r="J1638" s="13"/>
      <c r="K1638" t="str">
        <f t="shared" si="25"/>
        <v>DE250-SDR26</v>
      </c>
      <c r="L1638">
        <f>VLOOKUP(K1638,'[1]Tarif - Evolution Marché'!$F:$N,9,0)</f>
        <v>19.137243037974685</v>
      </c>
    </row>
    <row r="1639" spans="1:12" x14ac:dyDescent="0.3">
      <c r="A1639" s="14" t="s">
        <v>21</v>
      </c>
      <c r="B1639" s="15">
        <v>280</v>
      </c>
      <c r="C1639" s="15" t="s">
        <v>5</v>
      </c>
      <c r="D1639" s="15">
        <v>6</v>
      </c>
      <c r="E1639" s="21">
        <v>23.86</v>
      </c>
      <c r="F1639" s="15" t="s">
        <v>18</v>
      </c>
      <c r="G1639" s="15" t="s">
        <v>17</v>
      </c>
      <c r="H1639" s="17">
        <v>46630</v>
      </c>
      <c r="I1639" s="17"/>
      <c r="J1639" s="18"/>
      <c r="K1639" t="str">
        <f t="shared" si="25"/>
        <v>DE280-SDR26</v>
      </c>
      <c r="L1639">
        <f>VLOOKUP(K1639,'[1]Tarif - Evolution Marché'!$F:$N,9,0)</f>
        <v>23.856725738396623</v>
      </c>
    </row>
    <row r="1640" spans="1:12" x14ac:dyDescent="0.3">
      <c r="A1640" s="8" t="s">
        <v>21</v>
      </c>
      <c r="B1640" s="11">
        <v>315</v>
      </c>
      <c r="C1640" s="11" t="s">
        <v>5</v>
      </c>
      <c r="D1640" s="11">
        <v>6</v>
      </c>
      <c r="E1640" s="21">
        <v>30.34</v>
      </c>
      <c r="F1640" s="11" t="s">
        <v>18</v>
      </c>
      <c r="G1640" s="11" t="s">
        <v>17</v>
      </c>
      <c r="H1640" s="12">
        <v>46630</v>
      </c>
      <c r="I1640" s="12"/>
      <c r="J1640" s="13"/>
      <c r="K1640" t="str">
        <f t="shared" si="25"/>
        <v>DE315-SDR26</v>
      </c>
      <c r="L1640">
        <f>VLOOKUP(K1640,'[1]Tarif - Evolution Marché'!$F:$N,9,0)</f>
        <v>30.339531645569618</v>
      </c>
    </row>
    <row r="1641" spans="1:12" x14ac:dyDescent="0.3">
      <c r="A1641" s="14" t="s">
        <v>21</v>
      </c>
      <c r="B1641" s="15">
        <v>355</v>
      </c>
      <c r="C1641" s="15" t="s">
        <v>5</v>
      </c>
      <c r="D1641" s="15">
        <v>6</v>
      </c>
      <c r="E1641" s="21">
        <v>38.380000000000003</v>
      </c>
      <c r="F1641" s="15" t="s">
        <v>18</v>
      </c>
      <c r="G1641" s="15" t="s">
        <v>17</v>
      </c>
      <c r="H1641" s="17">
        <v>46630</v>
      </c>
      <c r="I1641" s="17"/>
      <c r="J1641" s="18"/>
      <c r="K1641" t="str">
        <f t="shared" si="25"/>
        <v>DE355-SDR26</v>
      </c>
      <c r="L1641">
        <f>VLOOKUP(K1641,'[1]Tarif - Evolution Marché'!$F:$N,9,0)</f>
        <v>38.378210970464139</v>
      </c>
    </row>
    <row r="1642" spans="1:12" x14ac:dyDescent="0.3">
      <c r="A1642" s="8" t="s">
        <v>21</v>
      </c>
      <c r="B1642" s="11">
        <v>400</v>
      </c>
      <c r="C1642" s="11" t="s">
        <v>5</v>
      </c>
      <c r="D1642" s="11">
        <v>6</v>
      </c>
      <c r="E1642" s="21">
        <v>48.75</v>
      </c>
      <c r="F1642" s="11" t="s">
        <v>18</v>
      </c>
      <c r="G1642" s="11" t="s">
        <v>17</v>
      </c>
      <c r="H1642" s="12">
        <v>46630</v>
      </c>
      <c r="I1642" s="12"/>
      <c r="J1642" s="13"/>
      <c r="K1642" t="str">
        <f t="shared" si="25"/>
        <v>DE400-SDR26</v>
      </c>
      <c r="L1642">
        <f>VLOOKUP(K1642,'[1]Tarif - Evolution Marché'!$F:$N,9,0)</f>
        <v>48.750700421940934</v>
      </c>
    </row>
    <row r="1643" spans="1:12" x14ac:dyDescent="0.3">
      <c r="A1643" s="14" t="s">
        <v>21</v>
      </c>
      <c r="B1643" s="15">
        <v>450</v>
      </c>
      <c r="C1643" s="15" t="s">
        <v>5</v>
      </c>
      <c r="D1643" s="15">
        <v>6</v>
      </c>
      <c r="E1643" s="21">
        <v>61.46</v>
      </c>
      <c r="F1643" s="15" t="s">
        <v>18</v>
      </c>
      <c r="G1643" s="15" t="s">
        <v>17</v>
      </c>
      <c r="H1643" s="17">
        <v>46630</v>
      </c>
      <c r="I1643" s="17"/>
      <c r="J1643" s="18"/>
      <c r="K1643" t="str">
        <f t="shared" si="25"/>
        <v>DE450-SDR26</v>
      </c>
      <c r="L1643">
        <f>VLOOKUP(K1643,'[1]Tarif - Evolution Marché'!$F:$N,9,0)</f>
        <v>61.457000000000001</v>
      </c>
    </row>
    <row r="1644" spans="1:12" x14ac:dyDescent="0.3">
      <c r="A1644" s="8" t="s">
        <v>21</v>
      </c>
      <c r="B1644" s="11">
        <v>500</v>
      </c>
      <c r="C1644" s="11" t="s">
        <v>5</v>
      </c>
      <c r="D1644" s="11">
        <v>6</v>
      </c>
      <c r="E1644" s="21">
        <v>75.72</v>
      </c>
      <c r="F1644" s="11" t="s">
        <v>18</v>
      </c>
      <c r="G1644" s="11" t="s">
        <v>17</v>
      </c>
      <c r="H1644" s="12">
        <v>46630</v>
      </c>
      <c r="I1644" s="12"/>
      <c r="J1644" s="13"/>
      <c r="K1644" t="str">
        <f t="shared" si="25"/>
        <v>DE500-SDR26</v>
      </c>
      <c r="L1644">
        <f>VLOOKUP(K1644,'[1]Tarif - Evolution Marché'!$F:$N,9,0)</f>
        <v>75.719172995780596</v>
      </c>
    </row>
    <row r="1645" spans="1:12" x14ac:dyDescent="0.3">
      <c r="A1645" s="14" t="s">
        <v>21</v>
      </c>
      <c r="B1645" s="15">
        <v>560</v>
      </c>
      <c r="C1645" s="15" t="s">
        <v>5</v>
      </c>
      <c r="D1645" s="15">
        <v>6</v>
      </c>
      <c r="E1645" s="21">
        <v>94.91</v>
      </c>
      <c r="F1645" s="15" t="s">
        <v>18</v>
      </c>
      <c r="G1645" s="15" t="s">
        <v>17</v>
      </c>
      <c r="H1645" s="17">
        <v>46630</v>
      </c>
      <c r="I1645" s="17"/>
      <c r="J1645" s="18"/>
      <c r="K1645" t="str">
        <f t="shared" si="25"/>
        <v>DE560-SDR26</v>
      </c>
      <c r="L1645">
        <f>VLOOKUP(K1645,'[1]Tarif - Evolution Marché'!$F:$N,9,0)</f>
        <v>94.908278481012658</v>
      </c>
    </row>
    <row r="1646" spans="1:12" x14ac:dyDescent="0.3">
      <c r="A1646" s="8" t="s">
        <v>21</v>
      </c>
      <c r="B1646" s="11">
        <v>630</v>
      </c>
      <c r="C1646" s="11" t="s">
        <v>5</v>
      </c>
      <c r="D1646" s="11">
        <v>6</v>
      </c>
      <c r="E1646" s="21">
        <v>120.32</v>
      </c>
      <c r="F1646" s="11" t="s">
        <v>18</v>
      </c>
      <c r="G1646" s="11" t="s">
        <v>17</v>
      </c>
      <c r="H1646" s="12">
        <v>46630</v>
      </c>
      <c r="I1646" s="12"/>
      <c r="J1646" s="13"/>
      <c r="K1646" t="str">
        <f t="shared" si="25"/>
        <v>DE630-SDR26</v>
      </c>
      <c r="L1646">
        <f>VLOOKUP(K1646,'[1]Tarif - Evolution Marché'!$F:$N,9,0)</f>
        <v>120.32087763713081</v>
      </c>
    </row>
    <row r="1647" spans="1:12" x14ac:dyDescent="0.3">
      <c r="A1647" s="14" t="s">
        <v>21</v>
      </c>
      <c r="B1647" s="15">
        <v>710</v>
      </c>
      <c r="C1647" s="15" t="s">
        <v>5</v>
      </c>
      <c r="D1647" s="15">
        <v>6</v>
      </c>
      <c r="E1647" s="21">
        <v>152.99</v>
      </c>
      <c r="F1647" s="15" t="s">
        <v>18</v>
      </c>
      <c r="G1647" s="15" t="s">
        <v>17</v>
      </c>
      <c r="H1647" s="17">
        <v>46630</v>
      </c>
      <c r="I1647" s="17"/>
      <c r="J1647" s="18"/>
      <c r="K1647" t="str">
        <f t="shared" si="25"/>
        <v>DE710-SDR26</v>
      </c>
      <c r="L1647">
        <f>VLOOKUP(K1647,'[1]Tarif - Evolution Marché'!$F:$N,9,0)</f>
        <v>152.99421940928269</v>
      </c>
    </row>
    <row r="1648" spans="1:12" x14ac:dyDescent="0.3">
      <c r="A1648" s="8" t="s">
        <v>21</v>
      </c>
      <c r="B1648" s="11">
        <v>800</v>
      </c>
      <c r="C1648" s="11" t="s">
        <v>5</v>
      </c>
      <c r="D1648" s="11">
        <v>6</v>
      </c>
      <c r="E1648" s="21">
        <v>193.71</v>
      </c>
      <c r="F1648" s="11" t="s">
        <v>18</v>
      </c>
      <c r="G1648" s="11" t="s">
        <v>17</v>
      </c>
      <c r="H1648" s="12">
        <v>46630</v>
      </c>
      <c r="I1648" s="12"/>
      <c r="J1648" s="13"/>
      <c r="K1648" t="str">
        <f t="shared" si="25"/>
        <v>DE800-SDR26</v>
      </c>
      <c r="L1648">
        <f>VLOOKUP(K1648,'[1]Tarif - Evolution Marché'!$F:$N,9,0)</f>
        <v>193.70624050632912</v>
      </c>
    </row>
    <row r="1649" spans="1:12" x14ac:dyDescent="0.3">
      <c r="A1649" s="14" t="s">
        <v>21</v>
      </c>
      <c r="B1649" s="15">
        <v>900</v>
      </c>
      <c r="C1649" s="15" t="s">
        <v>5</v>
      </c>
      <c r="D1649" s="15">
        <v>6</v>
      </c>
      <c r="E1649" s="21">
        <v>244.79</v>
      </c>
      <c r="F1649" s="15" t="s">
        <v>18</v>
      </c>
      <c r="G1649" s="15" t="s">
        <v>17</v>
      </c>
      <c r="H1649" s="17">
        <v>46630</v>
      </c>
      <c r="I1649" s="17"/>
      <c r="J1649" s="18"/>
      <c r="K1649" t="str">
        <f t="shared" si="25"/>
        <v>DE900-SDR26</v>
      </c>
      <c r="L1649">
        <f>VLOOKUP(K1649,'[1]Tarif - Evolution Marché'!$F:$N,9,0)</f>
        <v>244.79075105485234</v>
      </c>
    </row>
    <row r="1650" spans="1:12" x14ac:dyDescent="0.3">
      <c r="A1650" s="8" t="s">
        <v>21</v>
      </c>
      <c r="B1650" s="11">
        <v>1000</v>
      </c>
      <c r="C1650" s="11" t="s">
        <v>5</v>
      </c>
      <c r="D1650" s="11">
        <v>6</v>
      </c>
      <c r="E1650" s="21">
        <v>303.39999999999998</v>
      </c>
      <c r="F1650" s="11" t="s">
        <v>18</v>
      </c>
      <c r="G1650" s="11" t="s">
        <v>17</v>
      </c>
      <c r="H1650" s="12">
        <v>46630</v>
      </c>
      <c r="I1650" s="12"/>
      <c r="J1650" s="13"/>
      <c r="K1650" t="str">
        <f t="shared" si="25"/>
        <v>DE1000-SDR26</v>
      </c>
      <c r="L1650">
        <f>VLOOKUP(K1650,'[1]Tarif - Evolution Marché'!$F:$N,9,0)</f>
        <v>303.39531645569622</v>
      </c>
    </row>
    <row r="1651" spans="1:12" x14ac:dyDescent="0.3">
      <c r="A1651" s="14" t="s">
        <v>21</v>
      </c>
      <c r="B1651" s="15">
        <v>1200</v>
      </c>
      <c r="C1651" s="15" t="s">
        <v>5</v>
      </c>
      <c r="D1651" s="15">
        <v>6</v>
      </c>
      <c r="E1651" s="21">
        <v>435.64</v>
      </c>
      <c r="F1651" s="15" t="s">
        <v>18</v>
      </c>
      <c r="G1651" s="15" t="s">
        <v>17</v>
      </c>
      <c r="H1651" s="17">
        <v>46630</v>
      </c>
      <c r="I1651" s="17"/>
      <c r="J1651" s="18"/>
      <c r="K1651" t="str">
        <f t="shared" si="25"/>
        <v>DE1200-SDR26</v>
      </c>
      <c r="L1651">
        <f>VLOOKUP(K1651,'[1]Tarif - Evolution Marché'!$F:$N,9,0)</f>
        <v>435.64455696202532</v>
      </c>
    </row>
    <row r="1652" spans="1:12" x14ac:dyDescent="0.3">
      <c r="A1652" s="8" t="s">
        <v>21</v>
      </c>
      <c r="B1652" s="11">
        <v>40</v>
      </c>
      <c r="C1652" s="11" t="s">
        <v>6</v>
      </c>
      <c r="D1652" s="11">
        <v>8</v>
      </c>
      <c r="E1652" s="21">
        <v>0.65</v>
      </c>
      <c r="F1652" s="11" t="s">
        <v>18</v>
      </c>
      <c r="G1652" s="11" t="s">
        <v>17</v>
      </c>
      <c r="H1652" s="12">
        <v>46630</v>
      </c>
      <c r="I1652" s="12"/>
      <c r="J1652" s="13"/>
      <c r="K1652" t="str">
        <f t="shared" si="25"/>
        <v>DE40-SDR21</v>
      </c>
      <c r="L1652">
        <f>VLOOKUP(K1652,'[1]Tarif - Evolution Marché'!$F:$N,9,0)</f>
        <v>0.65087371308016884</v>
      </c>
    </row>
    <row r="1653" spans="1:12" x14ac:dyDescent="0.3">
      <c r="A1653" s="14" t="s">
        <v>21</v>
      </c>
      <c r="B1653" s="15">
        <v>50</v>
      </c>
      <c r="C1653" s="15" t="s">
        <v>6</v>
      </c>
      <c r="D1653" s="15">
        <v>8</v>
      </c>
      <c r="E1653" s="21">
        <v>0.98</v>
      </c>
      <c r="F1653" s="15" t="s">
        <v>18</v>
      </c>
      <c r="G1653" s="15" t="s">
        <v>17</v>
      </c>
      <c r="H1653" s="17">
        <v>46630</v>
      </c>
      <c r="I1653" s="17"/>
      <c r="J1653" s="18"/>
      <c r="K1653" t="str">
        <f t="shared" si="25"/>
        <v>DE50-SDR21</v>
      </c>
      <c r="L1653">
        <f>VLOOKUP(K1653,'[1]Tarif - Evolution Marché'!$F:$N,9,0)</f>
        <v>0.98020025316455694</v>
      </c>
    </row>
    <row r="1654" spans="1:12" x14ac:dyDescent="0.3">
      <c r="A1654" s="8" t="s">
        <v>21</v>
      </c>
      <c r="B1654" s="11">
        <v>63</v>
      </c>
      <c r="C1654" s="11" t="s">
        <v>6</v>
      </c>
      <c r="D1654" s="11">
        <v>8</v>
      </c>
      <c r="E1654" s="21">
        <v>1.52</v>
      </c>
      <c r="F1654" s="11" t="s">
        <v>18</v>
      </c>
      <c r="G1654" s="11" t="s">
        <v>17</v>
      </c>
      <c r="H1654" s="12">
        <v>46630</v>
      </c>
      <c r="I1654" s="12"/>
      <c r="J1654" s="13"/>
      <c r="K1654" t="str">
        <f t="shared" si="25"/>
        <v>DE63-SDR21</v>
      </c>
      <c r="L1654">
        <f>VLOOKUP(K1654,'[1]Tarif - Evolution Marché'!$F:$N,9,0)</f>
        <v>1.5195697046413501</v>
      </c>
    </row>
    <row r="1655" spans="1:12" x14ac:dyDescent="0.3">
      <c r="A1655" s="14" t="s">
        <v>21</v>
      </c>
      <c r="B1655" s="15">
        <v>75</v>
      </c>
      <c r="C1655" s="15" t="s">
        <v>6</v>
      </c>
      <c r="D1655" s="15">
        <v>8</v>
      </c>
      <c r="E1655" s="21">
        <v>2.17</v>
      </c>
      <c r="F1655" s="15" t="s">
        <v>18</v>
      </c>
      <c r="G1655" s="15" t="s">
        <v>17</v>
      </c>
      <c r="H1655" s="17">
        <v>46630</v>
      </c>
      <c r="I1655" s="17"/>
      <c r="J1655" s="18"/>
      <c r="K1655" t="str">
        <f t="shared" si="25"/>
        <v>DE75-SDR21</v>
      </c>
      <c r="L1655">
        <f>VLOOKUP(K1655,'[1]Tarif - Evolution Marché'!$F:$N,9,0)</f>
        <v>2.1678502953586496</v>
      </c>
    </row>
    <row r="1656" spans="1:12" x14ac:dyDescent="0.3">
      <c r="A1656" s="8" t="s">
        <v>21</v>
      </c>
      <c r="B1656" s="11">
        <v>90</v>
      </c>
      <c r="C1656" s="11" t="s">
        <v>6</v>
      </c>
      <c r="D1656" s="11">
        <v>8</v>
      </c>
      <c r="E1656" s="21">
        <v>3.11</v>
      </c>
      <c r="F1656" s="11" t="s">
        <v>18</v>
      </c>
      <c r="G1656" s="11" t="s">
        <v>17</v>
      </c>
      <c r="H1656" s="12">
        <v>46630</v>
      </c>
      <c r="I1656" s="12"/>
      <c r="J1656" s="13"/>
      <c r="K1656" t="str">
        <f t="shared" si="25"/>
        <v>DE90-SDR21</v>
      </c>
      <c r="L1656">
        <f>VLOOKUP(K1656,'[1]Tarif - Evolution Marché'!$F:$N,9,0)</f>
        <v>3.111746835443038</v>
      </c>
    </row>
    <row r="1657" spans="1:12" x14ac:dyDescent="0.3">
      <c r="A1657" s="14" t="s">
        <v>21</v>
      </c>
      <c r="B1657" s="15">
        <v>110</v>
      </c>
      <c r="C1657" s="15" t="s">
        <v>6</v>
      </c>
      <c r="D1657" s="15">
        <v>8</v>
      </c>
      <c r="E1657" s="21">
        <v>4.6399999999999997</v>
      </c>
      <c r="F1657" s="15" t="s">
        <v>18</v>
      </c>
      <c r="G1657" s="15" t="s">
        <v>17</v>
      </c>
      <c r="H1657" s="17">
        <v>46630</v>
      </c>
      <c r="I1657" s="17"/>
      <c r="J1657" s="18"/>
      <c r="K1657" t="str">
        <f t="shared" si="25"/>
        <v>DE110-SDR21</v>
      </c>
      <c r="L1657">
        <f>VLOOKUP(K1657,'[1]Tarif - Evolution Marché'!$F:$N,9,0)</f>
        <v>4.6416890295358648</v>
      </c>
    </row>
    <row r="1658" spans="1:12" x14ac:dyDescent="0.3">
      <c r="A1658" s="8" t="s">
        <v>21</v>
      </c>
      <c r="B1658" s="11">
        <v>125</v>
      </c>
      <c r="C1658" s="11" t="s">
        <v>6</v>
      </c>
      <c r="D1658" s="11">
        <v>8</v>
      </c>
      <c r="E1658" s="21">
        <v>5.94</v>
      </c>
      <c r="F1658" s="11" t="s">
        <v>18</v>
      </c>
      <c r="G1658" s="11" t="s">
        <v>17</v>
      </c>
      <c r="H1658" s="12">
        <v>46630</v>
      </c>
      <c r="I1658" s="12"/>
      <c r="J1658" s="13"/>
      <c r="K1658" t="str">
        <f t="shared" si="25"/>
        <v>DE125-SDR21</v>
      </c>
      <c r="L1658">
        <f>VLOOKUP(K1658,'[1]Tarif - Evolution Marché'!$F:$N,9,0)</f>
        <v>5.9382502109704642</v>
      </c>
    </row>
    <row r="1659" spans="1:12" x14ac:dyDescent="0.3">
      <c r="A1659" s="14" t="s">
        <v>21</v>
      </c>
      <c r="B1659" s="15">
        <v>140</v>
      </c>
      <c r="C1659" s="15" t="s">
        <v>6</v>
      </c>
      <c r="D1659" s="15">
        <v>8</v>
      </c>
      <c r="E1659" s="21">
        <v>7.42</v>
      </c>
      <c r="F1659" s="15" t="s">
        <v>18</v>
      </c>
      <c r="G1659" s="15" t="s">
        <v>17</v>
      </c>
      <c r="H1659" s="17">
        <v>46630</v>
      </c>
      <c r="I1659" s="17"/>
      <c r="J1659" s="18"/>
      <c r="K1659" t="str">
        <f t="shared" si="25"/>
        <v>DE140-SDR21</v>
      </c>
      <c r="L1659">
        <f>VLOOKUP(K1659,'[1]Tarif - Evolution Marché'!$F:$N,9,0)</f>
        <v>7.4163299578059068</v>
      </c>
    </row>
    <row r="1660" spans="1:12" x14ac:dyDescent="0.3">
      <c r="A1660" s="8" t="s">
        <v>21</v>
      </c>
      <c r="B1660" s="11">
        <v>160</v>
      </c>
      <c r="C1660" s="11" t="s">
        <v>6</v>
      </c>
      <c r="D1660" s="11">
        <v>8</v>
      </c>
      <c r="E1660" s="21">
        <v>9.7200000000000006</v>
      </c>
      <c r="F1660" s="11" t="s">
        <v>18</v>
      </c>
      <c r="G1660" s="11" t="s">
        <v>17</v>
      </c>
      <c r="H1660" s="12">
        <v>46630</v>
      </c>
      <c r="I1660" s="12"/>
      <c r="J1660" s="13"/>
      <c r="K1660" t="str">
        <f t="shared" si="25"/>
        <v>DE160-SDR21</v>
      </c>
      <c r="L1660">
        <f>VLOOKUP(K1660,'[1]Tarif - Evolution Marché'!$F:$N,9,0)</f>
        <v>9.7242088607594948</v>
      </c>
    </row>
    <row r="1661" spans="1:12" x14ac:dyDescent="0.3">
      <c r="A1661" s="14" t="s">
        <v>21</v>
      </c>
      <c r="B1661" s="15">
        <v>180</v>
      </c>
      <c r="C1661" s="15" t="s">
        <v>6</v>
      </c>
      <c r="D1661" s="15">
        <v>8</v>
      </c>
      <c r="E1661" s="21">
        <v>12.21</v>
      </c>
      <c r="F1661" s="15" t="s">
        <v>18</v>
      </c>
      <c r="G1661" s="15" t="s">
        <v>17</v>
      </c>
      <c r="H1661" s="17">
        <v>46630</v>
      </c>
      <c r="I1661" s="17"/>
      <c r="J1661" s="18"/>
      <c r="K1661" t="str">
        <f t="shared" si="25"/>
        <v>DE180-SDR21</v>
      </c>
      <c r="L1661">
        <f>VLOOKUP(K1661,'[1]Tarif - Evolution Marché'!$F:$N,9,0)</f>
        <v>12.213606329113924</v>
      </c>
    </row>
    <row r="1662" spans="1:12" x14ac:dyDescent="0.3">
      <c r="A1662" s="8" t="s">
        <v>21</v>
      </c>
      <c r="B1662" s="11">
        <v>200</v>
      </c>
      <c r="C1662" s="11" t="s">
        <v>6</v>
      </c>
      <c r="D1662" s="11">
        <v>8</v>
      </c>
      <c r="E1662" s="21">
        <v>15.14</v>
      </c>
      <c r="F1662" s="11" t="s">
        <v>18</v>
      </c>
      <c r="G1662" s="11" t="s">
        <v>17</v>
      </c>
      <c r="H1662" s="12">
        <v>46630</v>
      </c>
      <c r="I1662" s="12"/>
      <c r="J1662" s="13"/>
      <c r="K1662" t="str">
        <f t="shared" si="25"/>
        <v>DE200-SDR21</v>
      </c>
      <c r="L1662">
        <f>VLOOKUP(K1662,'[1]Tarif - Evolution Marché'!$F:$N,9,0)</f>
        <v>15.143834599156119</v>
      </c>
    </row>
    <row r="1663" spans="1:12" x14ac:dyDescent="0.3">
      <c r="A1663" s="14" t="s">
        <v>21</v>
      </c>
      <c r="B1663" s="15">
        <v>225</v>
      </c>
      <c r="C1663" s="15" t="s">
        <v>6</v>
      </c>
      <c r="D1663" s="15">
        <v>8</v>
      </c>
      <c r="E1663" s="21">
        <v>19.11</v>
      </c>
      <c r="F1663" s="15" t="s">
        <v>18</v>
      </c>
      <c r="G1663" s="15" t="s">
        <v>17</v>
      </c>
      <c r="H1663" s="17">
        <v>46630</v>
      </c>
      <c r="I1663" s="17"/>
      <c r="J1663" s="18"/>
      <c r="K1663" t="str">
        <f t="shared" si="25"/>
        <v>DE225-SDR21</v>
      </c>
      <c r="L1663">
        <f>VLOOKUP(K1663,'[1]Tarif - Evolution Marché'!$F:$N,9,0)</f>
        <v>19.111311814345992</v>
      </c>
    </row>
    <row r="1664" spans="1:12" x14ac:dyDescent="0.3">
      <c r="A1664" s="8" t="s">
        <v>21</v>
      </c>
      <c r="B1664" s="11">
        <v>250</v>
      </c>
      <c r="C1664" s="11" t="s">
        <v>6</v>
      </c>
      <c r="D1664" s="11">
        <v>8</v>
      </c>
      <c r="E1664" s="21">
        <v>23.39</v>
      </c>
      <c r="F1664" s="11" t="s">
        <v>18</v>
      </c>
      <c r="G1664" s="11" t="s">
        <v>17</v>
      </c>
      <c r="H1664" s="12">
        <v>46630</v>
      </c>
      <c r="I1664" s="12"/>
      <c r="J1664" s="13"/>
      <c r="K1664" t="str">
        <f t="shared" si="25"/>
        <v>DE250-SDR21</v>
      </c>
      <c r="L1664">
        <f>VLOOKUP(K1664,'[1]Tarif - Evolution Marché'!$F:$N,9,0)</f>
        <v>23.389963713080167</v>
      </c>
    </row>
    <row r="1665" spans="1:12" x14ac:dyDescent="0.3">
      <c r="A1665" s="14" t="s">
        <v>21</v>
      </c>
      <c r="B1665" s="15">
        <v>280</v>
      </c>
      <c r="C1665" s="15" t="s">
        <v>6</v>
      </c>
      <c r="D1665" s="15">
        <v>8</v>
      </c>
      <c r="E1665" s="21">
        <v>29.56</v>
      </c>
      <c r="F1665" s="15" t="s">
        <v>18</v>
      </c>
      <c r="G1665" s="15" t="s">
        <v>17</v>
      </c>
      <c r="H1665" s="17">
        <v>46630</v>
      </c>
      <c r="I1665" s="17"/>
      <c r="J1665" s="18"/>
      <c r="K1665" t="str">
        <f t="shared" si="25"/>
        <v>DE280-SDR21</v>
      </c>
      <c r="L1665">
        <f>VLOOKUP(K1665,'[1]Tarif - Evolution Marché'!$F:$N,9,0)</f>
        <v>29.561594936708861</v>
      </c>
    </row>
    <row r="1666" spans="1:12" x14ac:dyDescent="0.3">
      <c r="A1666" s="8" t="s">
        <v>21</v>
      </c>
      <c r="B1666" s="11">
        <v>315</v>
      </c>
      <c r="C1666" s="11" t="s">
        <v>6</v>
      </c>
      <c r="D1666" s="11">
        <v>8</v>
      </c>
      <c r="E1666" s="21">
        <v>37.08</v>
      </c>
      <c r="F1666" s="11" t="s">
        <v>18</v>
      </c>
      <c r="G1666" s="11" t="s">
        <v>17</v>
      </c>
      <c r="H1666" s="12">
        <v>46630</v>
      </c>
      <c r="I1666" s="12"/>
      <c r="J1666" s="13"/>
      <c r="K1666" t="str">
        <f t="shared" si="25"/>
        <v>DE315-SDR21</v>
      </c>
      <c r="L1666">
        <f>VLOOKUP(K1666,'[1]Tarif - Evolution Marché'!$F:$N,9,0)</f>
        <v>37.081649789029541</v>
      </c>
    </row>
    <row r="1667" spans="1:12" x14ac:dyDescent="0.3">
      <c r="A1667" s="14" t="s">
        <v>21</v>
      </c>
      <c r="B1667" s="15">
        <v>355</v>
      </c>
      <c r="C1667" s="15" t="s">
        <v>6</v>
      </c>
      <c r="D1667" s="15">
        <v>8</v>
      </c>
      <c r="E1667" s="21">
        <v>47.19</v>
      </c>
      <c r="F1667" s="15" t="s">
        <v>18</v>
      </c>
      <c r="G1667" s="15" t="s">
        <v>17</v>
      </c>
      <c r="H1667" s="17">
        <v>46630</v>
      </c>
      <c r="I1667" s="17"/>
      <c r="J1667" s="18"/>
      <c r="K1667" t="str">
        <f t="shared" ref="K1667:K1730" si="26">CONCATENATE("DE",B1667,"-",C1667)</f>
        <v>DE355-SDR21</v>
      </c>
      <c r="L1667">
        <f>VLOOKUP(K1667,'[1]Tarif - Evolution Marché'!$F:$N,9,0)</f>
        <v>47.194827004219412</v>
      </c>
    </row>
    <row r="1668" spans="1:12" x14ac:dyDescent="0.3">
      <c r="A1668" s="8" t="s">
        <v>21</v>
      </c>
      <c r="B1668" s="11">
        <v>400</v>
      </c>
      <c r="C1668" s="11" t="s">
        <v>6</v>
      </c>
      <c r="D1668" s="11">
        <v>8</v>
      </c>
      <c r="E1668" s="21">
        <v>59.9</v>
      </c>
      <c r="F1668" s="11" t="s">
        <v>18</v>
      </c>
      <c r="G1668" s="11" t="s">
        <v>17</v>
      </c>
      <c r="H1668" s="12">
        <v>46630</v>
      </c>
      <c r="I1668" s="12"/>
      <c r="J1668" s="13"/>
      <c r="K1668" t="str">
        <f t="shared" si="26"/>
        <v>DE400-SDR21</v>
      </c>
      <c r="L1668">
        <f>VLOOKUP(K1668,'[1]Tarif - Evolution Marché'!$F:$N,9,0)</f>
        <v>59.901126582278486</v>
      </c>
    </row>
    <row r="1669" spans="1:12" x14ac:dyDescent="0.3">
      <c r="A1669" s="14" t="s">
        <v>21</v>
      </c>
      <c r="B1669" s="15">
        <v>450</v>
      </c>
      <c r="C1669" s="15" t="s">
        <v>6</v>
      </c>
      <c r="D1669" s="15">
        <v>8</v>
      </c>
      <c r="E1669" s="21">
        <v>75.98</v>
      </c>
      <c r="F1669" s="15" t="s">
        <v>18</v>
      </c>
      <c r="G1669" s="15" t="s">
        <v>17</v>
      </c>
      <c r="H1669" s="17">
        <v>46630</v>
      </c>
      <c r="I1669" s="17"/>
      <c r="J1669" s="18"/>
      <c r="K1669" t="str">
        <f t="shared" si="26"/>
        <v>DE450-SDR21</v>
      </c>
      <c r="L1669">
        <f>VLOOKUP(K1669,'[1]Tarif - Evolution Marché'!$F:$N,9,0)</f>
        <v>75.978485232067513</v>
      </c>
    </row>
    <row r="1670" spans="1:12" x14ac:dyDescent="0.3">
      <c r="A1670" s="8" t="s">
        <v>21</v>
      </c>
      <c r="B1670" s="11">
        <v>500</v>
      </c>
      <c r="C1670" s="11" t="s">
        <v>6</v>
      </c>
      <c r="D1670" s="11">
        <v>8</v>
      </c>
      <c r="E1670" s="21">
        <v>93.61</v>
      </c>
      <c r="F1670" s="11" t="s">
        <v>18</v>
      </c>
      <c r="G1670" s="11" t="s">
        <v>17</v>
      </c>
      <c r="H1670" s="12">
        <v>46630</v>
      </c>
      <c r="I1670" s="12"/>
      <c r="J1670" s="13"/>
      <c r="K1670" t="str">
        <f t="shared" si="26"/>
        <v>DE500-SDR21</v>
      </c>
      <c r="L1670">
        <f>VLOOKUP(K1670,'[1]Tarif - Evolution Marché'!$F:$N,9,0)</f>
        <v>93.611717299578061</v>
      </c>
    </row>
    <row r="1671" spans="1:12" x14ac:dyDescent="0.3">
      <c r="A1671" s="14" t="s">
        <v>21</v>
      </c>
      <c r="B1671" s="15">
        <v>560</v>
      </c>
      <c r="C1671" s="15" t="s">
        <v>6</v>
      </c>
      <c r="D1671" s="15">
        <v>8</v>
      </c>
      <c r="E1671" s="21">
        <v>117.21</v>
      </c>
      <c r="F1671" s="15" t="s">
        <v>18</v>
      </c>
      <c r="G1671" s="15" t="s">
        <v>17</v>
      </c>
      <c r="H1671" s="17">
        <v>46630</v>
      </c>
      <c r="I1671" s="17"/>
      <c r="J1671" s="18"/>
      <c r="K1671" t="str">
        <f t="shared" si="26"/>
        <v>DE560-SDR21</v>
      </c>
      <c r="L1671">
        <f>VLOOKUP(K1671,'[1]Tarif - Evolution Marché'!$F:$N,9,0)</f>
        <v>117.20913080168778</v>
      </c>
    </row>
    <row r="1672" spans="1:12" x14ac:dyDescent="0.3">
      <c r="A1672" s="8" t="s">
        <v>21</v>
      </c>
      <c r="B1672" s="11">
        <v>630</v>
      </c>
      <c r="C1672" s="11" t="s">
        <v>6</v>
      </c>
      <c r="D1672" s="11">
        <v>8</v>
      </c>
      <c r="E1672" s="21">
        <v>147.81</v>
      </c>
      <c r="F1672" s="11" t="s">
        <v>18</v>
      </c>
      <c r="G1672" s="11" t="s">
        <v>17</v>
      </c>
      <c r="H1672" s="12">
        <v>46630</v>
      </c>
      <c r="I1672" s="12"/>
      <c r="J1672" s="13"/>
      <c r="K1672" t="str">
        <f t="shared" si="26"/>
        <v>DE630-SDR21</v>
      </c>
      <c r="L1672">
        <f>VLOOKUP(K1672,'[1]Tarif - Evolution Marché'!$F:$N,9,0)</f>
        <v>147.8079746835443</v>
      </c>
    </row>
    <row r="1673" spans="1:12" x14ac:dyDescent="0.3">
      <c r="A1673" s="14" t="s">
        <v>21</v>
      </c>
      <c r="B1673" s="15">
        <v>710</v>
      </c>
      <c r="C1673" s="15" t="s">
        <v>6</v>
      </c>
      <c r="D1673" s="15">
        <v>8</v>
      </c>
      <c r="E1673" s="21">
        <v>188.26</v>
      </c>
      <c r="F1673" s="15" t="s">
        <v>18</v>
      </c>
      <c r="G1673" s="15" t="s">
        <v>17</v>
      </c>
      <c r="H1673" s="17">
        <v>46630</v>
      </c>
      <c r="I1673" s="17"/>
      <c r="J1673" s="18"/>
      <c r="K1673" t="str">
        <f t="shared" si="26"/>
        <v>DE710-SDR21</v>
      </c>
      <c r="L1673">
        <f>VLOOKUP(K1673,'[1]Tarif - Evolution Marché'!$F:$N,9,0)</f>
        <v>188.26068354430379</v>
      </c>
    </row>
    <row r="1674" spans="1:12" x14ac:dyDescent="0.3">
      <c r="A1674" s="8" t="s">
        <v>21</v>
      </c>
      <c r="B1674" s="11">
        <v>800</v>
      </c>
      <c r="C1674" s="11" t="s">
        <v>6</v>
      </c>
      <c r="D1674" s="11">
        <v>8</v>
      </c>
      <c r="E1674" s="21">
        <v>238.57</v>
      </c>
      <c r="F1674" s="11" t="s">
        <v>18</v>
      </c>
      <c r="G1674" s="11" t="s">
        <v>17</v>
      </c>
      <c r="H1674" s="12">
        <v>46630</v>
      </c>
      <c r="I1674" s="12"/>
      <c r="J1674" s="13"/>
      <c r="K1674" t="str">
        <f t="shared" si="26"/>
        <v>DE800-SDR21</v>
      </c>
      <c r="L1674">
        <f>VLOOKUP(K1674,'[1]Tarif - Evolution Marché'!$F:$N,9,0)</f>
        <v>238.56725738396625</v>
      </c>
    </row>
    <row r="1675" spans="1:12" x14ac:dyDescent="0.3">
      <c r="A1675" s="14" t="s">
        <v>21</v>
      </c>
      <c r="B1675" s="15">
        <v>900</v>
      </c>
      <c r="C1675" s="15" t="s">
        <v>6</v>
      </c>
      <c r="D1675" s="15">
        <v>8</v>
      </c>
      <c r="E1675" s="21">
        <v>300.8</v>
      </c>
      <c r="F1675" s="15" t="s">
        <v>18</v>
      </c>
      <c r="G1675" s="15" t="s">
        <v>17</v>
      </c>
      <c r="H1675" s="17">
        <v>46630</v>
      </c>
      <c r="I1675" s="17"/>
      <c r="J1675" s="18"/>
      <c r="K1675" t="str">
        <f t="shared" si="26"/>
        <v>DE900-SDR21</v>
      </c>
      <c r="L1675">
        <f>VLOOKUP(K1675,'[1]Tarif - Evolution Marché'!$F:$N,9,0)</f>
        <v>300.80219409282699</v>
      </c>
    </row>
    <row r="1676" spans="1:12" x14ac:dyDescent="0.3">
      <c r="A1676" s="8" t="s">
        <v>21</v>
      </c>
      <c r="B1676" s="11">
        <v>1000</v>
      </c>
      <c r="C1676" s="11" t="s">
        <v>6</v>
      </c>
      <c r="D1676" s="11">
        <v>8</v>
      </c>
      <c r="E1676" s="21">
        <v>373.41</v>
      </c>
      <c r="F1676" s="11" t="s">
        <v>18</v>
      </c>
      <c r="G1676" s="11" t="s">
        <v>17</v>
      </c>
      <c r="H1676" s="12">
        <v>46630</v>
      </c>
      <c r="I1676" s="12"/>
      <c r="J1676" s="13"/>
      <c r="K1676" t="str">
        <f t="shared" si="26"/>
        <v>DE1000-SDR21</v>
      </c>
      <c r="L1676">
        <f>VLOOKUP(K1676,'[1]Tarif - Evolution Marché'!$F:$N,9,0)</f>
        <v>373.40962025316458</v>
      </c>
    </row>
    <row r="1677" spans="1:12" x14ac:dyDescent="0.3">
      <c r="A1677" s="14" t="s">
        <v>21</v>
      </c>
      <c r="B1677" s="15">
        <v>1200</v>
      </c>
      <c r="C1677" s="15" t="s">
        <v>6</v>
      </c>
      <c r="D1677" s="15">
        <v>8</v>
      </c>
      <c r="E1677" s="21">
        <v>536.78</v>
      </c>
      <c r="F1677" s="15" t="s">
        <v>18</v>
      </c>
      <c r="G1677" s="15" t="s">
        <v>17</v>
      </c>
      <c r="H1677" s="17">
        <v>46630</v>
      </c>
      <c r="I1677" s="17"/>
      <c r="J1677" s="18"/>
      <c r="K1677" t="str">
        <f t="shared" si="26"/>
        <v>DE1200-SDR21</v>
      </c>
      <c r="L1677">
        <f>VLOOKUP(K1677,'[1]Tarif - Evolution Marché'!$F:$N,9,0)</f>
        <v>536.77632911392402</v>
      </c>
    </row>
    <row r="1678" spans="1:12" x14ac:dyDescent="0.3">
      <c r="A1678" s="8" t="s">
        <v>21</v>
      </c>
      <c r="B1678" s="11">
        <v>32</v>
      </c>
      <c r="C1678" s="11" t="s">
        <v>7</v>
      </c>
      <c r="D1678" s="11">
        <v>10</v>
      </c>
      <c r="E1678" s="21">
        <v>0.51</v>
      </c>
      <c r="F1678" s="11" t="s">
        <v>18</v>
      </c>
      <c r="G1678" s="11" t="s">
        <v>17</v>
      </c>
      <c r="H1678" s="12">
        <v>46630</v>
      </c>
      <c r="I1678" s="12"/>
      <c r="J1678" s="13"/>
      <c r="K1678" t="str">
        <f t="shared" si="26"/>
        <v>DE32-SDR17</v>
      </c>
      <c r="L1678">
        <f>VLOOKUP(K1678,'[1]Tarif - Evolution Marché'!$F:$N,9,0)</f>
        <v>0.51343822784810134</v>
      </c>
    </row>
    <row r="1679" spans="1:12" x14ac:dyDescent="0.3">
      <c r="A1679" s="14" t="s">
        <v>21</v>
      </c>
      <c r="B1679" s="15">
        <v>40</v>
      </c>
      <c r="C1679" s="15" t="s">
        <v>7</v>
      </c>
      <c r="D1679" s="15">
        <v>10</v>
      </c>
      <c r="E1679" s="21">
        <v>0.78</v>
      </c>
      <c r="F1679" s="15" t="s">
        <v>18</v>
      </c>
      <c r="G1679" s="15" t="s">
        <v>17</v>
      </c>
      <c r="H1679" s="17">
        <v>46630</v>
      </c>
      <c r="I1679" s="17"/>
      <c r="J1679" s="18"/>
      <c r="K1679" t="str">
        <f t="shared" si="26"/>
        <v>DE40-SDR17</v>
      </c>
      <c r="L1679">
        <f>VLOOKUP(K1679,'[1]Tarif - Evolution Marché'!$F:$N,9,0)</f>
        <v>0.77534358649789026</v>
      </c>
    </row>
    <row r="1680" spans="1:12" x14ac:dyDescent="0.3">
      <c r="A1680" s="8" t="s">
        <v>21</v>
      </c>
      <c r="B1680" s="11">
        <v>50</v>
      </c>
      <c r="C1680" s="11" t="s">
        <v>7</v>
      </c>
      <c r="D1680" s="11">
        <v>10</v>
      </c>
      <c r="E1680" s="21">
        <v>1.19</v>
      </c>
      <c r="F1680" s="11" t="s">
        <v>18</v>
      </c>
      <c r="G1680" s="11" t="s">
        <v>17</v>
      </c>
      <c r="H1680" s="12">
        <v>46630</v>
      </c>
      <c r="I1680" s="12"/>
      <c r="J1680" s="13"/>
      <c r="K1680" t="str">
        <f t="shared" si="26"/>
        <v>DE50-SDR17</v>
      </c>
      <c r="L1680">
        <f>VLOOKUP(K1680,'[1]Tarif - Evolution Marché'!$F:$N,9,0)</f>
        <v>1.187650042194093</v>
      </c>
    </row>
    <row r="1681" spans="1:12" x14ac:dyDescent="0.3">
      <c r="A1681" s="14" t="s">
        <v>21</v>
      </c>
      <c r="B1681" s="15">
        <v>63</v>
      </c>
      <c r="C1681" s="15" t="s">
        <v>7</v>
      </c>
      <c r="D1681" s="15">
        <v>10</v>
      </c>
      <c r="E1681" s="21">
        <v>1.89</v>
      </c>
      <c r="F1681" s="15" t="s">
        <v>18</v>
      </c>
      <c r="G1681" s="15" t="s">
        <v>17</v>
      </c>
      <c r="H1681" s="17">
        <v>46630</v>
      </c>
      <c r="I1681" s="17"/>
      <c r="J1681" s="18"/>
      <c r="K1681" t="str">
        <f t="shared" si="26"/>
        <v>DE63-SDR17</v>
      </c>
      <c r="L1681">
        <f>VLOOKUP(K1681,'[1]Tarif - Evolution Marché'!$F:$N,9,0)</f>
        <v>1.8877930801687763</v>
      </c>
    </row>
    <row r="1682" spans="1:12" x14ac:dyDescent="0.3">
      <c r="A1682" s="8" t="s">
        <v>21</v>
      </c>
      <c r="B1682" s="11">
        <v>75</v>
      </c>
      <c r="C1682" s="11" t="s">
        <v>7</v>
      </c>
      <c r="D1682" s="11">
        <v>10</v>
      </c>
      <c r="E1682" s="21">
        <v>2.67</v>
      </c>
      <c r="F1682" s="11" t="s">
        <v>18</v>
      </c>
      <c r="G1682" s="11" t="s">
        <v>17</v>
      </c>
      <c r="H1682" s="12">
        <v>46630</v>
      </c>
      <c r="I1682" s="12"/>
      <c r="J1682" s="13"/>
      <c r="K1682" t="str">
        <f t="shared" si="26"/>
        <v>DE75-SDR17</v>
      </c>
      <c r="L1682">
        <f>VLOOKUP(K1682,'[1]Tarif - Evolution Marché'!$F:$N,9,0)</f>
        <v>2.6709160337552742</v>
      </c>
    </row>
    <row r="1683" spans="1:12" x14ac:dyDescent="0.3">
      <c r="A1683" s="14" t="s">
        <v>21</v>
      </c>
      <c r="B1683" s="15">
        <v>90</v>
      </c>
      <c r="C1683" s="15" t="s">
        <v>7</v>
      </c>
      <c r="D1683" s="15">
        <v>10</v>
      </c>
      <c r="E1683" s="21">
        <v>3.81</v>
      </c>
      <c r="F1683" s="15" t="s">
        <v>18</v>
      </c>
      <c r="G1683" s="15" t="s">
        <v>17</v>
      </c>
      <c r="H1683" s="17">
        <v>46630</v>
      </c>
      <c r="I1683" s="17"/>
      <c r="J1683" s="18"/>
      <c r="K1683" t="str">
        <f t="shared" si="26"/>
        <v>DE90-SDR17</v>
      </c>
      <c r="L1683">
        <f>VLOOKUP(K1683,'[1]Tarif - Evolution Marché'!$F:$N,9,0)</f>
        <v>3.8118898734177216</v>
      </c>
    </row>
    <row r="1684" spans="1:12" x14ac:dyDescent="0.3">
      <c r="A1684" s="8" t="s">
        <v>21</v>
      </c>
      <c r="B1684" s="11">
        <v>110</v>
      </c>
      <c r="C1684" s="11" t="s">
        <v>7</v>
      </c>
      <c r="D1684" s="11">
        <v>10</v>
      </c>
      <c r="E1684" s="21">
        <v>5.68</v>
      </c>
      <c r="F1684" s="11" t="s">
        <v>18</v>
      </c>
      <c r="G1684" s="11" t="s">
        <v>17</v>
      </c>
      <c r="H1684" s="12">
        <v>46630</v>
      </c>
      <c r="I1684" s="12"/>
      <c r="J1684" s="13"/>
      <c r="K1684" t="str">
        <f t="shared" si="26"/>
        <v>DE110-SDR17</v>
      </c>
      <c r="L1684">
        <f>VLOOKUP(K1684,'[1]Tarif - Evolution Marché'!$F:$N,9,0)</f>
        <v>5.678937974683544</v>
      </c>
    </row>
    <row r="1685" spans="1:12" x14ac:dyDescent="0.3">
      <c r="A1685" s="14" t="s">
        <v>21</v>
      </c>
      <c r="B1685" s="15">
        <v>125</v>
      </c>
      <c r="C1685" s="15" t="s">
        <v>7</v>
      </c>
      <c r="D1685" s="15">
        <v>10</v>
      </c>
      <c r="E1685" s="21">
        <v>7.23</v>
      </c>
      <c r="F1685" s="15" t="s">
        <v>18</v>
      </c>
      <c r="G1685" s="15" t="s">
        <v>17</v>
      </c>
      <c r="H1685" s="17">
        <v>46630</v>
      </c>
      <c r="I1685" s="17"/>
      <c r="J1685" s="18"/>
      <c r="K1685" t="str">
        <f t="shared" si="26"/>
        <v>DE125-SDR17</v>
      </c>
      <c r="L1685">
        <f>VLOOKUP(K1685,'[1]Tarif - Evolution Marché'!$F:$N,9,0)</f>
        <v>7.2348113924050637</v>
      </c>
    </row>
    <row r="1686" spans="1:12" x14ac:dyDescent="0.3">
      <c r="A1686" s="8" t="s">
        <v>21</v>
      </c>
      <c r="B1686" s="11">
        <v>140</v>
      </c>
      <c r="C1686" s="11" t="s">
        <v>7</v>
      </c>
      <c r="D1686" s="11">
        <v>10</v>
      </c>
      <c r="E1686" s="21">
        <v>9.08</v>
      </c>
      <c r="F1686" s="11" t="s">
        <v>18</v>
      </c>
      <c r="G1686" s="11" t="s">
        <v>17</v>
      </c>
      <c r="H1686" s="12">
        <v>46630</v>
      </c>
      <c r="I1686" s="12"/>
      <c r="J1686" s="13"/>
      <c r="K1686" t="str">
        <f t="shared" si="26"/>
        <v>DE140-SDR17</v>
      </c>
      <c r="L1686">
        <f>VLOOKUP(K1686,'[1]Tarif - Evolution Marché'!$F:$N,9,0)</f>
        <v>9.0759282700421942</v>
      </c>
    </row>
    <row r="1687" spans="1:12" x14ac:dyDescent="0.3">
      <c r="A1687" s="14" t="s">
        <v>21</v>
      </c>
      <c r="B1687" s="15">
        <v>160</v>
      </c>
      <c r="C1687" s="15" t="s">
        <v>7</v>
      </c>
      <c r="D1687" s="15">
        <v>10</v>
      </c>
      <c r="E1687" s="21">
        <v>11.85</v>
      </c>
      <c r="F1687" s="15" t="s">
        <v>18</v>
      </c>
      <c r="G1687" s="15" t="s">
        <v>17</v>
      </c>
      <c r="H1687" s="17">
        <v>46630</v>
      </c>
      <c r="I1687" s="17"/>
      <c r="J1687" s="18"/>
      <c r="K1687" t="str">
        <f t="shared" si="26"/>
        <v>DE160-SDR17</v>
      </c>
      <c r="L1687">
        <f>VLOOKUP(K1687,'[1]Tarif - Evolution Marché'!$F:$N,9,0)</f>
        <v>11.850569198312238</v>
      </c>
    </row>
    <row r="1688" spans="1:12" x14ac:dyDescent="0.3">
      <c r="A1688" s="8" t="s">
        <v>21</v>
      </c>
      <c r="B1688" s="11">
        <v>180</v>
      </c>
      <c r="C1688" s="11" t="s">
        <v>7</v>
      </c>
      <c r="D1688" s="11">
        <v>10</v>
      </c>
      <c r="E1688" s="21">
        <v>14.96</v>
      </c>
      <c r="F1688" s="11" t="s">
        <v>18</v>
      </c>
      <c r="G1688" s="11" t="s">
        <v>17</v>
      </c>
      <c r="H1688" s="12">
        <v>46630</v>
      </c>
      <c r="I1688" s="12"/>
      <c r="J1688" s="13"/>
      <c r="K1688" t="str">
        <f t="shared" si="26"/>
        <v>DE180-SDR17</v>
      </c>
      <c r="L1688">
        <f>VLOOKUP(K1688,'[1]Tarif - Evolution Marché'!$F:$N,9,0)</f>
        <v>14.962316033755274</v>
      </c>
    </row>
    <row r="1689" spans="1:12" x14ac:dyDescent="0.3">
      <c r="A1689" s="14" t="s">
        <v>21</v>
      </c>
      <c r="B1689" s="15">
        <v>200</v>
      </c>
      <c r="C1689" s="15" t="s">
        <v>7</v>
      </c>
      <c r="D1689" s="15">
        <v>10</v>
      </c>
      <c r="E1689" s="21">
        <v>18.46</v>
      </c>
      <c r="F1689" s="15" t="s">
        <v>18</v>
      </c>
      <c r="G1689" s="15" t="s">
        <v>17</v>
      </c>
      <c r="H1689" s="17">
        <v>46630</v>
      </c>
      <c r="I1689" s="17"/>
      <c r="J1689" s="18"/>
      <c r="K1689" t="str">
        <f t="shared" si="26"/>
        <v>DE200-SDR17</v>
      </c>
      <c r="L1689">
        <f>VLOOKUP(K1689,'[1]Tarif - Evolution Marché'!$F:$N,9,0)</f>
        <v>18.463031223628693</v>
      </c>
    </row>
    <row r="1690" spans="1:12" x14ac:dyDescent="0.3">
      <c r="A1690" s="8" t="s">
        <v>21</v>
      </c>
      <c r="B1690" s="11">
        <v>225</v>
      </c>
      <c r="C1690" s="11" t="s">
        <v>7</v>
      </c>
      <c r="D1690" s="11">
        <v>10</v>
      </c>
      <c r="E1690" s="21">
        <v>23.42</v>
      </c>
      <c r="F1690" s="11" t="s">
        <v>18</v>
      </c>
      <c r="G1690" s="11" t="s">
        <v>17</v>
      </c>
      <c r="H1690" s="12">
        <v>46630</v>
      </c>
      <c r="I1690" s="12"/>
      <c r="J1690" s="13"/>
      <c r="K1690" t="str">
        <f t="shared" si="26"/>
        <v>DE225-SDR17</v>
      </c>
      <c r="L1690">
        <f>VLOOKUP(K1690,'[1]Tarif - Evolution Marché'!$F:$N,9,0)</f>
        <v>23.41589493670886</v>
      </c>
    </row>
    <row r="1691" spans="1:12" x14ac:dyDescent="0.3">
      <c r="A1691" s="14" t="s">
        <v>21</v>
      </c>
      <c r="B1691" s="15">
        <v>250</v>
      </c>
      <c r="C1691" s="15" t="s">
        <v>7</v>
      </c>
      <c r="D1691" s="15">
        <v>10</v>
      </c>
      <c r="E1691" s="21">
        <v>28.78</v>
      </c>
      <c r="F1691" s="15" t="s">
        <v>18</v>
      </c>
      <c r="G1691" s="15" t="s">
        <v>17</v>
      </c>
      <c r="H1691" s="17">
        <v>46630</v>
      </c>
      <c r="I1691" s="17"/>
      <c r="J1691" s="18"/>
      <c r="K1691" t="str">
        <f t="shared" si="26"/>
        <v>DE250-SDR17</v>
      </c>
      <c r="L1691">
        <f>VLOOKUP(K1691,'[1]Tarif - Evolution Marché'!$F:$N,9,0)</f>
        <v>28.7836582278481</v>
      </c>
    </row>
    <row r="1692" spans="1:12" x14ac:dyDescent="0.3">
      <c r="A1692" s="8" t="s">
        <v>21</v>
      </c>
      <c r="B1692" s="11">
        <v>280</v>
      </c>
      <c r="C1692" s="11" t="s">
        <v>7</v>
      </c>
      <c r="D1692" s="11">
        <v>10</v>
      </c>
      <c r="E1692" s="21">
        <v>36.04</v>
      </c>
      <c r="F1692" s="11" t="s">
        <v>18</v>
      </c>
      <c r="G1692" s="11" t="s">
        <v>17</v>
      </c>
      <c r="H1692" s="12">
        <v>46630</v>
      </c>
      <c r="I1692" s="12"/>
      <c r="J1692" s="13"/>
      <c r="K1692" t="str">
        <f t="shared" si="26"/>
        <v>DE280-SDR17</v>
      </c>
      <c r="L1692">
        <f>VLOOKUP(K1692,'[1]Tarif - Evolution Marché'!$F:$N,9,0)</f>
        <v>36.04440084388186</v>
      </c>
    </row>
    <row r="1693" spans="1:12" x14ac:dyDescent="0.3">
      <c r="A1693" s="14" t="s">
        <v>21</v>
      </c>
      <c r="B1693" s="15">
        <v>315</v>
      </c>
      <c r="C1693" s="15" t="s">
        <v>7</v>
      </c>
      <c r="D1693" s="15">
        <v>10</v>
      </c>
      <c r="E1693" s="21">
        <v>45.64</v>
      </c>
      <c r="F1693" s="15" t="s">
        <v>18</v>
      </c>
      <c r="G1693" s="15" t="s">
        <v>17</v>
      </c>
      <c r="H1693" s="17">
        <v>46630</v>
      </c>
      <c r="I1693" s="17"/>
      <c r="J1693" s="18"/>
      <c r="K1693" t="str">
        <f t="shared" si="26"/>
        <v>DE315-SDR17</v>
      </c>
      <c r="L1693">
        <f>VLOOKUP(K1693,'[1]Tarif - Evolution Marché'!$F:$N,9,0)</f>
        <v>45.638953586497898</v>
      </c>
    </row>
    <row r="1694" spans="1:12" x14ac:dyDescent="0.3">
      <c r="A1694" s="8" t="s">
        <v>21</v>
      </c>
      <c r="B1694" s="11">
        <v>355</v>
      </c>
      <c r="C1694" s="11" t="s">
        <v>7</v>
      </c>
      <c r="D1694" s="11">
        <v>10</v>
      </c>
      <c r="E1694" s="21">
        <v>58.09</v>
      </c>
      <c r="F1694" s="11" t="s">
        <v>18</v>
      </c>
      <c r="G1694" s="11" t="s">
        <v>17</v>
      </c>
      <c r="H1694" s="12">
        <v>46630</v>
      </c>
      <c r="I1694" s="12"/>
      <c r="J1694" s="13"/>
      <c r="K1694" t="str">
        <f t="shared" si="26"/>
        <v>DE355-SDR17</v>
      </c>
      <c r="L1694">
        <f>VLOOKUP(K1694,'[1]Tarif - Evolution Marché'!$F:$N,9,0)</f>
        <v>58.085940928270041</v>
      </c>
    </row>
    <row r="1695" spans="1:12" x14ac:dyDescent="0.3">
      <c r="A1695" s="14" t="s">
        <v>21</v>
      </c>
      <c r="B1695" s="15">
        <v>400</v>
      </c>
      <c r="C1695" s="15" t="s">
        <v>7</v>
      </c>
      <c r="D1695" s="15">
        <v>10</v>
      </c>
      <c r="E1695" s="21">
        <v>73.39</v>
      </c>
      <c r="F1695" s="15" t="s">
        <v>18</v>
      </c>
      <c r="G1695" s="15" t="s">
        <v>17</v>
      </c>
      <c r="H1695" s="17">
        <v>46630</v>
      </c>
      <c r="I1695" s="17"/>
      <c r="J1695" s="18"/>
      <c r="K1695" t="str">
        <f t="shared" si="26"/>
        <v>DE400-SDR17</v>
      </c>
      <c r="L1695">
        <f>VLOOKUP(K1695,'[1]Tarif - Evolution Marché'!$F:$N,9,0)</f>
        <v>73.385362869198318</v>
      </c>
    </row>
    <row r="1696" spans="1:12" x14ac:dyDescent="0.3">
      <c r="A1696" s="8" t="s">
        <v>21</v>
      </c>
      <c r="B1696" s="11">
        <v>450</v>
      </c>
      <c r="C1696" s="11" t="s">
        <v>7</v>
      </c>
      <c r="D1696" s="11">
        <v>10</v>
      </c>
      <c r="E1696" s="21">
        <v>92.83</v>
      </c>
      <c r="F1696" s="11" t="s">
        <v>18</v>
      </c>
      <c r="G1696" s="11" t="s">
        <v>17</v>
      </c>
      <c r="H1696" s="12">
        <v>46630</v>
      </c>
      <c r="I1696" s="12"/>
      <c r="J1696" s="13"/>
      <c r="K1696" t="str">
        <f t="shared" si="26"/>
        <v>DE450-SDR17</v>
      </c>
      <c r="L1696">
        <f>VLOOKUP(K1696,'[1]Tarif - Evolution Marché'!$F:$N,9,0)</f>
        <v>92.833780590717296</v>
      </c>
    </row>
    <row r="1697" spans="1:12" x14ac:dyDescent="0.3">
      <c r="A1697" s="14" t="s">
        <v>21</v>
      </c>
      <c r="B1697" s="15">
        <v>500</v>
      </c>
      <c r="C1697" s="15" t="s">
        <v>7</v>
      </c>
      <c r="D1697" s="15">
        <v>10</v>
      </c>
      <c r="E1697" s="21">
        <v>114.62</v>
      </c>
      <c r="F1697" s="15" t="s">
        <v>18</v>
      </c>
      <c r="G1697" s="15" t="s">
        <v>17</v>
      </c>
      <c r="H1697" s="17">
        <v>46630</v>
      </c>
      <c r="I1697" s="17"/>
      <c r="J1697" s="18"/>
      <c r="K1697" t="str">
        <f t="shared" si="26"/>
        <v>DE500-SDR17</v>
      </c>
      <c r="L1697">
        <f>VLOOKUP(K1697,'[1]Tarif - Evolution Marché'!$F:$N,9,0)</f>
        <v>114.61600843881858</v>
      </c>
    </row>
    <row r="1698" spans="1:12" x14ac:dyDescent="0.3">
      <c r="A1698" s="8" t="s">
        <v>21</v>
      </c>
      <c r="B1698" s="11">
        <v>560</v>
      </c>
      <c r="C1698" s="11" t="s">
        <v>7</v>
      </c>
      <c r="D1698" s="11">
        <v>10</v>
      </c>
      <c r="E1698" s="21">
        <v>143.66</v>
      </c>
      <c r="F1698" s="11" t="s">
        <v>18</v>
      </c>
      <c r="G1698" s="11" t="s">
        <v>17</v>
      </c>
      <c r="H1698" s="12">
        <v>46630</v>
      </c>
      <c r="I1698" s="12"/>
      <c r="J1698" s="13"/>
      <c r="K1698" t="str">
        <f t="shared" si="26"/>
        <v>DE560-SDR17</v>
      </c>
      <c r="L1698">
        <f>VLOOKUP(K1698,'[1]Tarif - Evolution Marché'!$F:$N,9,0)</f>
        <v>143.65897890295358</v>
      </c>
    </row>
    <row r="1699" spans="1:12" x14ac:dyDescent="0.3">
      <c r="A1699" s="14" t="s">
        <v>21</v>
      </c>
      <c r="B1699" s="15">
        <v>630</v>
      </c>
      <c r="C1699" s="15" t="s">
        <v>7</v>
      </c>
      <c r="D1699" s="15">
        <v>10</v>
      </c>
      <c r="E1699" s="21">
        <v>182.04</v>
      </c>
      <c r="F1699" s="15" t="s">
        <v>18</v>
      </c>
      <c r="G1699" s="15" t="s">
        <v>17</v>
      </c>
      <c r="H1699" s="17">
        <v>46630</v>
      </c>
      <c r="I1699" s="17"/>
      <c r="J1699" s="18"/>
      <c r="K1699" t="str">
        <f t="shared" si="26"/>
        <v>DE630-SDR17</v>
      </c>
      <c r="L1699">
        <f>VLOOKUP(K1699,'[1]Tarif - Evolution Marché'!$F:$N,9,0)</f>
        <v>182.03718987341773</v>
      </c>
    </row>
    <row r="1700" spans="1:12" x14ac:dyDescent="0.3">
      <c r="A1700" s="8" t="s">
        <v>21</v>
      </c>
      <c r="B1700" s="11">
        <v>710</v>
      </c>
      <c r="C1700" s="11" t="s">
        <v>7</v>
      </c>
      <c r="D1700" s="11">
        <v>10</v>
      </c>
      <c r="E1700" s="21">
        <v>230.79</v>
      </c>
      <c r="F1700" s="11" t="s">
        <v>18</v>
      </c>
      <c r="G1700" s="11" t="s">
        <v>17</v>
      </c>
      <c r="H1700" s="12">
        <v>46630</v>
      </c>
      <c r="I1700" s="12"/>
      <c r="J1700" s="13"/>
      <c r="K1700" t="str">
        <f t="shared" si="26"/>
        <v>DE710-SDR17</v>
      </c>
      <c r="L1700">
        <f>VLOOKUP(K1700,'[1]Tarif - Evolution Marché'!$F:$N,9,0)</f>
        <v>230.78789029535866</v>
      </c>
    </row>
    <row r="1701" spans="1:12" x14ac:dyDescent="0.3">
      <c r="A1701" s="14" t="s">
        <v>21</v>
      </c>
      <c r="B1701" s="15">
        <v>800</v>
      </c>
      <c r="C1701" s="15" t="s">
        <v>7</v>
      </c>
      <c r="D1701" s="15">
        <v>10</v>
      </c>
      <c r="E1701" s="21">
        <v>293.02</v>
      </c>
      <c r="F1701" s="15" t="s">
        <v>18</v>
      </c>
      <c r="G1701" s="15" t="s">
        <v>17</v>
      </c>
      <c r="H1701" s="17">
        <v>46630</v>
      </c>
      <c r="I1701" s="17"/>
      <c r="J1701" s="18"/>
      <c r="K1701" t="str">
        <f t="shared" si="26"/>
        <v>DE800-SDR17</v>
      </c>
      <c r="L1701">
        <f>VLOOKUP(K1701,'[1]Tarif - Evolution Marché'!$F:$N,9,0)</f>
        <v>293.02282700421944</v>
      </c>
    </row>
    <row r="1702" spans="1:12" x14ac:dyDescent="0.3">
      <c r="A1702" s="8" t="s">
        <v>21</v>
      </c>
      <c r="B1702" s="11">
        <v>900</v>
      </c>
      <c r="C1702" s="11" t="s">
        <v>7</v>
      </c>
      <c r="D1702" s="11">
        <v>10</v>
      </c>
      <c r="E1702" s="21">
        <v>370.82</v>
      </c>
      <c r="F1702" s="11" t="s">
        <v>18</v>
      </c>
      <c r="G1702" s="11" t="s">
        <v>17</v>
      </c>
      <c r="H1702" s="12">
        <v>46630</v>
      </c>
      <c r="I1702" s="12"/>
      <c r="J1702" s="13"/>
      <c r="K1702" t="str">
        <f t="shared" si="26"/>
        <v>DE900-SDR17</v>
      </c>
      <c r="L1702">
        <f>VLOOKUP(K1702,'[1]Tarif - Evolution Marché'!$F:$N,9,0)</f>
        <v>370.81649789029535</v>
      </c>
    </row>
    <row r="1703" spans="1:12" x14ac:dyDescent="0.3">
      <c r="A1703" s="14" t="s">
        <v>21</v>
      </c>
      <c r="B1703" s="15">
        <v>1000</v>
      </c>
      <c r="C1703" s="15" t="s">
        <v>7</v>
      </c>
      <c r="D1703" s="15">
        <v>10</v>
      </c>
      <c r="E1703" s="21">
        <v>456.39</v>
      </c>
      <c r="F1703" s="15" t="s">
        <v>18</v>
      </c>
      <c r="G1703" s="15" t="s">
        <v>17</v>
      </c>
      <c r="H1703" s="17">
        <v>46630</v>
      </c>
      <c r="I1703" s="17"/>
      <c r="J1703" s="18"/>
      <c r="K1703" t="str">
        <f t="shared" si="26"/>
        <v>DE1000-SDR17</v>
      </c>
      <c r="L1703">
        <f>VLOOKUP(K1703,'[1]Tarif - Evolution Marché'!$F:$N,9,0)</f>
        <v>456.38953586497894</v>
      </c>
    </row>
    <row r="1704" spans="1:12" x14ac:dyDescent="0.3">
      <c r="A1704" s="8" t="s">
        <v>21</v>
      </c>
      <c r="B1704" s="11">
        <v>25</v>
      </c>
      <c r="C1704" s="11" t="s">
        <v>8</v>
      </c>
      <c r="D1704" s="11">
        <v>12.5</v>
      </c>
      <c r="E1704" s="21">
        <v>0.39</v>
      </c>
      <c r="F1704" s="11" t="s">
        <v>18</v>
      </c>
      <c r="G1704" s="11" t="s">
        <v>17</v>
      </c>
      <c r="H1704" s="12">
        <v>46630</v>
      </c>
      <c r="I1704" s="12"/>
      <c r="J1704" s="13"/>
      <c r="K1704" t="str">
        <f t="shared" si="26"/>
        <v>DE25-SDR13,6</v>
      </c>
      <c r="L1704">
        <f>VLOOKUP(K1704,'[1]Tarif - Evolution Marché'!$F:$N,9,0)</f>
        <v>0.39156147679324893</v>
      </c>
    </row>
    <row r="1705" spans="1:12" x14ac:dyDescent="0.3">
      <c r="A1705" s="14" t="s">
        <v>21</v>
      </c>
      <c r="B1705" s="15">
        <v>32</v>
      </c>
      <c r="C1705" s="15" t="s">
        <v>8</v>
      </c>
      <c r="D1705" s="15">
        <v>12.5</v>
      </c>
      <c r="E1705" s="21">
        <v>0.61</v>
      </c>
      <c r="F1705" s="15" t="s">
        <v>18</v>
      </c>
      <c r="G1705" s="15" t="s">
        <v>17</v>
      </c>
      <c r="H1705" s="17">
        <v>46630</v>
      </c>
      <c r="I1705" s="17"/>
      <c r="J1705" s="18"/>
      <c r="K1705" t="str">
        <f t="shared" si="26"/>
        <v>DE32-SDR13,6</v>
      </c>
      <c r="L1705">
        <f>VLOOKUP(K1705,'[1]Tarif - Evolution Marché'!$F:$N,9,0)</f>
        <v>0.60938375527426158</v>
      </c>
    </row>
    <row r="1706" spans="1:12" x14ac:dyDescent="0.3">
      <c r="A1706" s="8" t="s">
        <v>21</v>
      </c>
      <c r="B1706" s="11">
        <v>40</v>
      </c>
      <c r="C1706" s="11" t="s">
        <v>8</v>
      </c>
      <c r="D1706" s="11">
        <v>12.5</v>
      </c>
      <c r="E1706" s="21">
        <v>0.93</v>
      </c>
      <c r="F1706" s="11" t="s">
        <v>18</v>
      </c>
      <c r="G1706" s="11" t="s">
        <v>17</v>
      </c>
      <c r="H1706" s="12">
        <v>46630</v>
      </c>
      <c r="I1706" s="12"/>
      <c r="J1706" s="13"/>
      <c r="K1706" t="str">
        <f t="shared" si="26"/>
        <v>DE40-SDR13,6</v>
      </c>
      <c r="L1706">
        <f>VLOOKUP(K1706,'[1]Tarif - Evolution Marché'!$F:$N,9,0)</f>
        <v>0.93352405063291144</v>
      </c>
    </row>
    <row r="1707" spans="1:12" x14ac:dyDescent="0.3">
      <c r="A1707" s="14" t="s">
        <v>21</v>
      </c>
      <c r="B1707" s="15">
        <v>50</v>
      </c>
      <c r="C1707" s="15" t="s">
        <v>8</v>
      </c>
      <c r="D1707" s="15">
        <v>12.5</v>
      </c>
      <c r="E1707" s="21">
        <v>1.44</v>
      </c>
      <c r="F1707" s="15" t="s">
        <v>18</v>
      </c>
      <c r="G1707" s="15" t="s">
        <v>17</v>
      </c>
      <c r="H1707" s="17">
        <v>46630</v>
      </c>
      <c r="I1707" s="17"/>
      <c r="J1707" s="18"/>
      <c r="K1707" t="str">
        <f t="shared" si="26"/>
        <v>DE50-SDR13,6</v>
      </c>
      <c r="L1707">
        <f>VLOOKUP(K1707,'[1]Tarif - Evolution Marché'!$F:$N,9,0)</f>
        <v>1.4391829113924053</v>
      </c>
    </row>
    <row r="1708" spans="1:12" x14ac:dyDescent="0.3">
      <c r="A1708" s="8" t="s">
        <v>21</v>
      </c>
      <c r="B1708" s="11">
        <v>63</v>
      </c>
      <c r="C1708" s="11" t="s">
        <v>8</v>
      </c>
      <c r="D1708" s="11">
        <v>12.5</v>
      </c>
      <c r="E1708" s="21">
        <v>2.29</v>
      </c>
      <c r="F1708" s="11" t="s">
        <v>18</v>
      </c>
      <c r="G1708" s="11" t="s">
        <v>17</v>
      </c>
      <c r="H1708" s="12">
        <v>46630</v>
      </c>
      <c r="I1708" s="12"/>
      <c r="J1708" s="13"/>
      <c r="K1708" t="str">
        <f t="shared" si="26"/>
        <v>DE63-SDR13,6</v>
      </c>
      <c r="L1708">
        <f>VLOOKUP(K1708,'[1]Tarif - Evolution Marché'!$F:$N,9,0)</f>
        <v>2.289727046413502</v>
      </c>
    </row>
    <row r="1709" spans="1:12" x14ac:dyDescent="0.3">
      <c r="A1709" s="14" t="s">
        <v>21</v>
      </c>
      <c r="B1709" s="15">
        <v>75</v>
      </c>
      <c r="C1709" s="15" t="s">
        <v>8</v>
      </c>
      <c r="D1709" s="15">
        <v>12.5</v>
      </c>
      <c r="E1709" s="21">
        <v>3.24</v>
      </c>
      <c r="F1709" s="15" t="s">
        <v>18</v>
      </c>
      <c r="G1709" s="15" t="s">
        <v>17</v>
      </c>
      <c r="H1709" s="17">
        <v>46630</v>
      </c>
      <c r="I1709" s="17"/>
      <c r="J1709" s="18"/>
      <c r="K1709" t="str">
        <f t="shared" si="26"/>
        <v>DE75-SDR13,6</v>
      </c>
      <c r="L1709">
        <f>VLOOKUP(K1709,'[1]Tarif - Evolution Marché'!$F:$N,9,0)</f>
        <v>3.2414029535864981</v>
      </c>
    </row>
    <row r="1710" spans="1:12" x14ac:dyDescent="0.3">
      <c r="A1710" s="8" t="s">
        <v>21</v>
      </c>
      <c r="B1710" s="11">
        <v>90</v>
      </c>
      <c r="C1710" s="11" t="s">
        <v>8</v>
      </c>
      <c r="D1710" s="11">
        <v>12.5</v>
      </c>
      <c r="E1710" s="21">
        <v>4.6399999999999997</v>
      </c>
      <c r="F1710" s="11" t="s">
        <v>18</v>
      </c>
      <c r="G1710" s="11" t="s">
        <v>17</v>
      </c>
      <c r="H1710" s="12">
        <v>46630</v>
      </c>
      <c r="I1710" s="12"/>
      <c r="J1710" s="13"/>
      <c r="K1710" t="str">
        <f t="shared" si="26"/>
        <v>DE90-SDR13,6</v>
      </c>
      <c r="L1710">
        <f>VLOOKUP(K1710,'[1]Tarif - Evolution Marché'!$F:$N,9,0)</f>
        <v>4.6416890295358648</v>
      </c>
    </row>
    <row r="1711" spans="1:12" x14ac:dyDescent="0.3">
      <c r="A1711" s="14" t="s">
        <v>21</v>
      </c>
      <c r="B1711" s="15">
        <v>110</v>
      </c>
      <c r="C1711" s="15" t="s">
        <v>8</v>
      </c>
      <c r="D1711" s="15">
        <v>12.5</v>
      </c>
      <c r="E1711" s="21">
        <v>6.85</v>
      </c>
      <c r="F1711" s="15" t="s">
        <v>18</v>
      </c>
      <c r="G1711" s="15" t="s">
        <v>17</v>
      </c>
      <c r="H1711" s="17">
        <v>46630</v>
      </c>
      <c r="I1711" s="17"/>
      <c r="J1711" s="18"/>
      <c r="K1711" t="str">
        <f t="shared" si="26"/>
        <v>DE110-SDR13,6</v>
      </c>
      <c r="L1711">
        <f>VLOOKUP(K1711,'[1]Tarif - Evolution Marché'!$F:$N,9,0)</f>
        <v>6.8458430379746842</v>
      </c>
    </row>
    <row r="1712" spans="1:12" x14ac:dyDescent="0.3">
      <c r="A1712" s="8" t="s">
        <v>21</v>
      </c>
      <c r="B1712" s="11">
        <v>125</v>
      </c>
      <c r="C1712" s="11" t="s">
        <v>8</v>
      </c>
      <c r="D1712" s="11">
        <v>12.5</v>
      </c>
      <c r="E1712" s="21">
        <v>8.82</v>
      </c>
      <c r="F1712" s="11" t="s">
        <v>18</v>
      </c>
      <c r="G1712" s="11" t="s">
        <v>17</v>
      </c>
      <c r="H1712" s="12">
        <v>46630</v>
      </c>
      <c r="I1712" s="12"/>
      <c r="J1712" s="13"/>
      <c r="K1712" t="str">
        <f t="shared" si="26"/>
        <v>DE125-SDR13,6</v>
      </c>
      <c r="L1712">
        <f>VLOOKUP(K1712,'[1]Tarif - Evolution Marché'!$F:$N,9,0)</f>
        <v>8.8166160337552739</v>
      </c>
    </row>
    <row r="1713" spans="1:12" x14ac:dyDescent="0.3">
      <c r="A1713" s="14" t="s">
        <v>21</v>
      </c>
      <c r="B1713" s="15">
        <v>140</v>
      </c>
      <c r="C1713" s="15" t="s">
        <v>8</v>
      </c>
      <c r="D1713" s="15">
        <v>12.5</v>
      </c>
      <c r="E1713" s="21">
        <v>11.05</v>
      </c>
      <c r="F1713" s="15" t="s">
        <v>18</v>
      </c>
      <c r="G1713" s="15" t="s">
        <v>17</v>
      </c>
      <c r="H1713" s="17">
        <v>46630</v>
      </c>
      <c r="I1713" s="17"/>
      <c r="J1713" s="18"/>
      <c r="K1713" t="str">
        <f t="shared" si="26"/>
        <v>DE140-SDR13,6</v>
      </c>
      <c r="L1713">
        <f>VLOOKUP(K1713,'[1]Tarif - Evolution Marché'!$F:$N,9,0)</f>
        <v>11.046701265822785</v>
      </c>
    </row>
    <row r="1714" spans="1:12" x14ac:dyDescent="0.3">
      <c r="A1714" s="8" t="s">
        <v>21</v>
      </c>
      <c r="B1714" s="11">
        <v>160</v>
      </c>
      <c r="C1714" s="11" t="s">
        <v>8</v>
      </c>
      <c r="D1714" s="11">
        <v>12.5</v>
      </c>
      <c r="E1714" s="21">
        <v>14.42</v>
      </c>
      <c r="F1714" s="11" t="s">
        <v>18</v>
      </c>
      <c r="G1714" s="11" t="s">
        <v>17</v>
      </c>
      <c r="H1714" s="12">
        <v>46630</v>
      </c>
      <c r="I1714" s="12"/>
      <c r="J1714" s="13"/>
      <c r="K1714" t="str">
        <f t="shared" si="26"/>
        <v>DE160-SDR13,6</v>
      </c>
      <c r="L1714">
        <f>VLOOKUP(K1714,'[1]Tarif - Evolution Marché'!$F:$N,9,0)</f>
        <v>14.417760337552743</v>
      </c>
    </row>
    <row r="1715" spans="1:12" x14ac:dyDescent="0.3">
      <c r="A1715" s="14" t="s">
        <v>21</v>
      </c>
      <c r="B1715" s="15">
        <v>180</v>
      </c>
      <c r="C1715" s="15" t="s">
        <v>8</v>
      </c>
      <c r="D1715" s="15">
        <v>12.5</v>
      </c>
      <c r="E1715" s="21">
        <v>18.28</v>
      </c>
      <c r="F1715" s="15" t="s">
        <v>18</v>
      </c>
      <c r="G1715" s="15" t="s">
        <v>17</v>
      </c>
      <c r="H1715" s="17">
        <v>46630</v>
      </c>
      <c r="I1715" s="17"/>
      <c r="J1715" s="18"/>
      <c r="K1715" t="str">
        <f t="shared" si="26"/>
        <v>DE180-SDR13,6</v>
      </c>
      <c r="L1715">
        <f>VLOOKUP(K1715,'[1]Tarif - Evolution Marché'!$F:$N,9,0)</f>
        <v>18.281512658227847</v>
      </c>
    </row>
    <row r="1716" spans="1:12" x14ac:dyDescent="0.3">
      <c r="A1716" s="8" t="s">
        <v>21</v>
      </c>
      <c r="B1716" s="11">
        <v>200</v>
      </c>
      <c r="C1716" s="11" t="s">
        <v>8</v>
      </c>
      <c r="D1716" s="11">
        <v>12.5</v>
      </c>
      <c r="E1716" s="21">
        <v>22.43</v>
      </c>
      <c r="F1716" s="11" t="s">
        <v>18</v>
      </c>
      <c r="G1716" s="11" t="s">
        <v>17</v>
      </c>
      <c r="H1716" s="12">
        <v>46630</v>
      </c>
      <c r="I1716" s="12"/>
      <c r="J1716" s="13"/>
      <c r="K1716" t="str">
        <f t="shared" si="26"/>
        <v>DE200-SDR13,6</v>
      </c>
      <c r="L1716">
        <f>VLOOKUP(K1716,'[1]Tarif - Evolution Marché'!$F:$N,9,0)</f>
        <v>22.430508438818567</v>
      </c>
    </row>
    <row r="1717" spans="1:12" x14ac:dyDescent="0.3">
      <c r="A1717" s="14" t="s">
        <v>21</v>
      </c>
      <c r="B1717" s="15">
        <v>225</v>
      </c>
      <c r="C1717" s="15" t="s">
        <v>8</v>
      </c>
      <c r="D1717" s="15">
        <v>12.5</v>
      </c>
      <c r="E1717" s="21">
        <v>28.52</v>
      </c>
      <c r="F1717" s="15" t="s">
        <v>18</v>
      </c>
      <c r="G1717" s="15" t="s">
        <v>17</v>
      </c>
      <c r="H1717" s="17">
        <v>46630</v>
      </c>
      <c r="I1717" s="17"/>
      <c r="J1717" s="18"/>
      <c r="K1717" t="str">
        <f t="shared" si="26"/>
        <v>DE225-SDR13,6</v>
      </c>
      <c r="L1717">
        <f>VLOOKUP(K1717,'[1]Tarif - Evolution Marché'!$F:$N,9,0)</f>
        <v>28.524345991561184</v>
      </c>
    </row>
    <row r="1718" spans="1:12" x14ac:dyDescent="0.3">
      <c r="A1718" s="8" t="s">
        <v>21</v>
      </c>
      <c r="B1718" s="11">
        <v>250</v>
      </c>
      <c r="C1718" s="11" t="s">
        <v>8</v>
      </c>
      <c r="D1718" s="11">
        <v>12.5</v>
      </c>
      <c r="E1718" s="21">
        <v>35.01</v>
      </c>
      <c r="F1718" s="11" t="s">
        <v>18</v>
      </c>
      <c r="G1718" s="11" t="s">
        <v>17</v>
      </c>
      <c r="H1718" s="12">
        <v>46630</v>
      </c>
      <c r="I1718" s="12"/>
      <c r="J1718" s="13"/>
      <c r="K1718" t="str">
        <f t="shared" si="26"/>
        <v>DE250-SDR13,6</v>
      </c>
      <c r="L1718">
        <f>VLOOKUP(K1718,'[1]Tarif - Evolution Marché'!$F:$N,9,0)</f>
        <v>35.007151898734179</v>
      </c>
    </row>
    <row r="1719" spans="1:12" x14ac:dyDescent="0.3">
      <c r="A1719" s="14" t="s">
        <v>21</v>
      </c>
      <c r="B1719" s="15">
        <v>280</v>
      </c>
      <c r="C1719" s="15" t="s">
        <v>8</v>
      </c>
      <c r="D1719" s="15">
        <v>12.5</v>
      </c>
      <c r="E1719" s="21">
        <v>43.82</v>
      </c>
      <c r="F1719" s="15" t="s">
        <v>18</v>
      </c>
      <c r="G1719" s="15" t="s">
        <v>17</v>
      </c>
      <c r="H1719" s="17">
        <v>46630</v>
      </c>
      <c r="I1719" s="17"/>
      <c r="J1719" s="18"/>
      <c r="K1719" t="str">
        <f t="shared" si="26"/>
        <v>DE280-SDR13,6</v>
      </c>
      <c r="L1719">
        <f>VLOOKUP(K1719,'[1]Tarif - Evolution Marché'!$F:$N,9,0)</f>
        <v>43.823767932489446</v>
      </c>
    </row>
    <row r="1720" spans="1:12" x14ac:dyDescent="0.3">
      <c r="A1720" s="8" t="s">
        <v>21</v>
      </c>
      <c r="B1720" s="11">
        <v>315</v>
      </c>
      <c r="C1720" s="11" t="s">
        <v>8</v>
      </c>
      <c r="D1720" s="11">
        <v>12.5</v>
      </c>
      <c r="E1720" s="21">
        <v>55.75</v>
      </c>
      <c r="F1720" s="11" t="s">
        <v>18</v>
      </c>
      <c r="G1720" s="11" t="s">
        <v>17</v>
      </c>
      <c r="H1720" s="12">
        <v>46630</v>
      </c>
      <c r="I1720" s="12"/>
      <c r="J1720" s="13"/>
      <c r="K1720" t="str">
        <f t="shared" si="26"/>
        <v>DE315-SDR13,6</v>
      </c>
      <c r="L1720">
        <f>VLOOKUP(K1720,'[1]Tarif - Evolution Marché'!$F:$N,9,0)</f>
        <v>55.752130801687763</v>
      </c>
    </row>
    <row r="1721" spans="1:12" x14ac:dyDescent="0.3">
      <c r="A1721" s="14" t="s">
        <v>21</v>
      </c>
      <c r="B1721" s="15">
        <v>355</v>
      </c>
      <c r="C1721" s="15" t="s">
        <v>8</v>
      </c>
      <c r="D1721" s="15">
        <v>12.5</v>
      </c>
      <c r="E1721" s="21">
        <v>70.53</v>
      </c>
      <c r="F1721" s="15" t="s">
        <v>18</v>
      </c>
      <c r="G1721" s="15" t="s">
        <v>17</v>
      </c>
      <c r="H1721" s="17">
        <v>46630</v>
      </c>
      <c r="I1721" s="17"/>
      <c r="J1721" s="18"/>
      <c r="K1721" t="str">
        <f t="shared" si="26"/>
        <v>DE355-SDR13,6</v>
      </c>
      <c r="L1721">
        <f>VLOOKUP(K1721,'[1]Tarif - Evolution Marché'!$F:$N,9,0)</f>
        <v>70.532928270042191</v>
      </c>
    </row>
    <row r="1722" spans="1:12" x14ac:dyDescent="0.3">
      <c r="A1722" s="8" t="s">
        <v>21</v>
      </c>
      <c r="B1722" s="11">
        <v>400</v>
      </c>
      <c r="C1722" s="11" t="s">
        <v>8</v>
      </c>
      <c r="D1722" s="11">
        <v>12.5</v>
      </c>
      <c r="E1722" s="21">
        <v>89.46</v>
      </c>
      <c r="F1722" s="11" t="s">
        <v>18</v>
      </c>
      <c r="G1722" s="11" t="s">
        <v>17</v>
      </c>
      <c r="H1722" s="12">
        <v>46630</v>
      </c>
      <c r="I1722" s="12"/>
      <c r="J1722" s="13"/>
      <c r="K1722" t="str">
        <f t="shared" si="26"/>
        <v>DE400-SDR13,6</v>
      </c>
      <c r="L1722">
        <f>VLOOKUP(K1722,'[1]Tarif - Evolution Marché'!$F:$N,9,0)</f>
        <v>89.462721518987351</v>
      </c>
    </row>
    <row r="1723" spans="1:12" x14ac:dyDescent="0.3">
      <c r="A1723" s="14" t="s">
        <v>21</v>
      </c>
      <c r="B1723" s="15">
        <v>450</v>
      </c>
      <c r="C1723" s="15" t="s">
        <v>8</v>
      </c>
      <c r="D1723" s="15">
        <v>12.5</v>
      </c>
      <c r="E1723" s="21">
        <v>113.32</v>
      </c>
      <c r="F1723" s="15" t="s">
        <v>18</v>
      </c>
      <c r="G1723" s="15" t="s">
        <v>17</v>
      </c>
      <c r="H1723" s="17">
        <v>46630</v>
      </c>
      <c r="I1723" s="17"/>
      <c r="J1723" s="18"/>
      <c r="K1723" t="str">
        <f t="shared" si="26"/>
        <v>DE450-SDR13,6</v>
      </c>
      <c r="L1723">
        <f>VLOOKUP(K1723,'[1]Tarif - Evolution Marché'!$F:$N,9,0)</f>
        <v>113.31944725738397</v>
      </c>
    </row>
    <row r="1724" spans="1:12" x14ac:dyDescent="0.3">
      <c r="A1724" s="8" t="s">
        <v>21</v>
      </c>
      <c r="B1724" s="11">
        <v>500</v>
      </c>
      <c r="C1724" s="11" t="s">
        <v>8</v>
      </c>
      <c r="D1724" s="11">
        <v>12.5</v>
      </c>
      <c r="E1724" s="21">
        <v>139.77000000000001</v>
      </c>
      <c r="F1724" s="11" t="s">
        <v>18</v>
      </c>
      <c r="G1724" s="11" t="s">
        <v>17</v>
      </c>
      <c r="H1724" s="12">
        <v>46630</v>
      </c>
      <c r="I1724" s="12"/>
      <c r="J1724" s="13"/>
      <c r="K1724" t="str">
        <f t="shared" si="26"/>
        <v>DE500-SDR13,6</v>
      </c>
      <c r="L1724">
        <f>VLOOKUP(K1724,'[1]Tarif - Evolution Marché'!$F:$N,9,0)</f>
        <v>139.7692953586498</v>
      </c>
    </row>
    <row r="1725" spans="1:12" x14ac:dyDescent="0.3">
      <c r="A1725" s="14" t="s">
        <v>21</v>
      </c>
      <c r="B1725" s="15">
        <v>560</v>
      </c>
      <c r="C1725" s="15" t="s">
        <v>8</v>
      </c>
      <c r="D1725" s="15">
        <v>12.5</v>
      </c>
      <c r="E1725" s="21">
        <v>175.3</v>
      </c>
      <c r="F1725" s="15" t="s">
        <v>18</v>
      </c>
      <c r="G1725" s="15" t="s">
        <v>17</v>
      </c>
      <c r="H1725" s="17">
        <v>46630</v>
      </c>
      <c r="I1725" s="17"/>
      <c r="J1725" s="18"/>
      <c r="K1725" t="str">
        <f t="shared" si="26"/>
        <v>DE560-SDR13,6</v>
      </c>
      <c r="L1725">
        <f>VLOOKUP(K1725,'[1]Tarif - Evolution Marché'!$F:$N,9,0)</f>
        <v>175.29507172995778</v>
      </c>
    </row>
    <row r="1726" spans="1:12" x14ac:dyDescent="0.3">
      <c r="A1726" s="8" t="s">
        <v>21</v>
      </c>
      <c r="B1726" s="11">
        <v>630</v>
      </c>
      <c r="C1726" s="11" t="s">
        <v>8</v>
      </c>
      <c r="D1726" s="11">
        <v>12.5</v>
      </c>
      <c r="E1726" s="21">
        <v>221.71</v>
      </c>
      <c r="F1726" s="11" t="s">
        <v>18</v>
      </c>
      <c r="G1726" s="11" t="s">
        <v>17</v>
      </c>
      <c r="H1726" s="12">
        <v>46630</v>
      </c>
      <c r="I1726" s="12"/>
      <c r="J1726" s="13"/>
      <c r="K1726" t="str">
        <f t="shared" si="26"/>
        <v>DE630-SDR13,6</v>
      </c>
      <c r="L1726">
        <f>VLOOKUP(K1726,'[1]Tarif - Evolution Marché'!$F:$N,9,0)</f>
        <v>221.71196202531647</v>
      </c>
    </row>
    <row r="1727" spans="1:12" x14ac:dyDescent="0.3">
      <c r="A1727" s="14" t="s">
        <v>21</v>
      </c>
      <c r="B1727" s="15">
        <v>710</v>
      </c>
      <c r="C1727" s="15" t="s">
        <v>8</v>
      </c>
      <c r="D1727" s="15">
        <v>12.5</v>
      </c>
      <c r="E1727" s="21">
        <v>282.64999999999998</v>
      </c>
      <c r="F1727" s="15" t="s">
        <v>18</v>
      </c>
      <c r="G1727" s="15" t="s">
        <v>17</v>
      </c>
      <c r="H1727" s="17">
        <v>46630</v>
      </c>
      <c r="I1727" s="17"/>
      <c r="J1727" s="18"/>
      <c r="K1727" t="str">
        <f t="shared" si="26"/>
        <v>DE710-SDR13,6</v>
      </c>
      <c r="L1727">
        <f>VLOOKUP(K1727,'[1]Tarif - Evolution Marché'!$F:$N,9,0)</f>
        <v>282.6503375527426</v>
      </c>
    </row>
    <row r="1728" spans="1:12" x14ac:dyDescent="0.3">
      <c r="A1728" s="8" t="s">
        <v>21</v>
      </c>
      <c r="B1728" s="11">
        <v>800</v>
      </c>
      <c r="C1728" s="11" t="s">
        <v>8</v>
      </c>
      <c r="D1728" s="11">
        <v>12.5</v>
      </c>
      <c r="E1728" s="21">
        <v>357.85</v>
      </c>
      <c r="F1728" s="11" t="s">
        <v>18</v>
      </c>
      <c r="G1728" s="11" t="s">
        <v>17</v>
      </c>
      <c r="H1728" s="12">
        <v>46630</v>
      </c>
      <c r="I1728" s="12"/>
      <c r="J1728" s="13"/>
      <c r="K1728" t="str">
        <f t="shared" si="26"/>
        <v>DE800-SDR13,6</v>
      </c>
      <c r="L1728">
        <f>VLOOKUP(K1728,'[1]Tarif - Evolution Marché'!$F:$N,9,0)</f>
        <v>357.8508860759494</v>
      </c>
    </row>
    <row r="1729" spans="1:12" x14ac:dyDescent="0.3">
      <c r="A1729" s="14" t="s">
        <v>21</v>
      </c>
      <c r="B1729" s="15">
        <v>900</v>
      </c>
      <c r="C1729" s="15" t="s">
        <v>8</v>
      </c>
      <c r="D1729" s="15">
        <v>12.5</v>
      </c>
      <c r="E1729" s="21">
        <v>451.2</v>
      </c>
      <c r="F1729" s="15" t="s">
        <v>18</v>
      </c>
      <c r="G1729" s="15" t="s">
        <v>17</v>
      </c>
      <c r="H1729" s="17">
        <v>46630</v>
      </c>
      <c r="I1729" s="17"/>
      <c r="J1729" s="18"/>
      <c r="K1729" t="str">
        <f t="shared" si="26"/>
        <v>DE900-SDR13,6</v>
      </c>
      <c r="L1729">
        <f>VLOOKUP(K1729,'[1]Tarif - Evolution Marché'!$F:$N,9,0)</f>
        <v>451.20329113924055</v>
      </c>
    </row>
    <row r="1730" spans="1:12" x14ac:dyDescent="0.3">
      <c r="A1730" s="8" t="s">
        <v>21</v>
      </c>
      <c r="B1730" s="11">
        <v>20</v>
      </c>
      <c r="C1730" s="11" t="s">
        <v>9</v>
      </c>
      <c r="D1730" s="11">
        <v>16</v>
      </c>
      <c r="E1730" s="21">
        <v>0.31</v>
      </c>
      <c r="F1730" s="11" t="s">
        <v>18</v>
      </c>
      <c r="G1730" s="11" t="s">
        <v>17</v>
      </c>
      <c r="H1730" s="12">
        <v>46630</v>
      </c>
      <c r="I1730" s="12"/>
      <c r="J1730" s="13"/>
      <c r="K1730" t="str">
        <f t="shared" si="26"/>
        <v>DE20-SDR11</v>
      </c>
      <c r="L1730">
        <f>VLOOKUP(K1730,'[1]Tarif - Evolution Marché'!$F:$N,9,0)</f>
        <v>0.30598843881856541</v>
      </c>
    </row>
    <row r="1731" spans="1:12" x14ac:dyDescent="0.3">
      <c r="A1731" s="14" t="s">
        <v>21</v>
      </c>
      <c r="B1731" s="15">
        <v>25</v>
      </c>
      <c r="C1731" s="15" t="s">
        <v>9</v>
      </c>
      <c r="D1731" s="15">
        <v>16</v>
      </c>
      <c r="E1731" s="21">
        <v>0.45</v>
      </c>
      <c r="F1731" s="15" t="s">
        <v>18</v>
      </c>
      <c r="G1731" s="15" t="s">
        <v>17</v>
      </c>
      <c r="H1731" s="17">
        <v>46630</v>
      </c>
      <c r="I1731" s="17"/>
      <c r="J1731" s="18"/>
      <c r="K1731" t="str">
        <f t="shared" ref="K1731:K1794" si="27">CONCATENATE("DE",B1731,"-",C1731)</f>
        <v>DE25-SDR11</v>
      </c>
      <c r="L1731">
        <f>VLOOKUP(K1731,'[1]Tarif - Evolution Marché'!$F:$N,9,0)</f>
        <v>0.44861016877637128</v>
      </c>
    </row>
    <row r="1732" spans="1:12" x14ac:dyDescent="0.3">
      <c r="A1732" s="8" t="s">
        <v>21</v>
      </c>
      <c r="B1732" s="11">
        <v>32</v>
      </c>
      <c r="C1732" s="11" t="s">
        <v>9</v>
      </c>
      <c r="D1732" s="11">
        <v>16</v>
      </c>
      <c r="E1732" s="21">
        <v>0.73</v>
      </c>
      <c r="F1732" s="11" t="s">
        <v>18</v>
      </c>
      <c r="G1732" s="11" t="s">
        <v>17</v>
      </c>
      <c r="H1732" s="12">
        <v>46630</v>
      </c>
      <c r="I1732" s="12"/>
      <c r="J1732" s="13"/>
      <c r="K1732" t="str">
        <f t="shared" si="27"/>
        <v>DE32-SDR11</v>
      </c>
      <c r="L1732">
        <f>VLOOKUP(K1732,'[1]Tarif - Evolution Marché'!$F:$N,9,0)</f>
        <v>0.73126050632911388</v>
      </c>
    </row>
    <row r="1733" spans="1:12" x14ac:dyDescent="0.3">
      <c r="A1733" s="14" t="s">
        <v>21</v>
      </c>
      <c r="B1733" s="15">
        <v>40</v>
      </c>
      <c r="C1733" s="15" t="s">
        <v>9</v>
      </c>
      <c r="D1733" s="15">
        <v>16</v>
      </c>
      <c r="E1733" s="21">
        <v>1.1299999999999999</v>
      </c>
      <c r="F1733" s="15" t="s">
        <v>18</v>
      </c>
      <c r="G1733" s="15" t="s">
        <v>17</v>
      </c>
      <c r="H1733" s="17">
        <v>46630</v>
      </c>
      <c r="I1733" s="17"/>
      <c r="J1733" s="18"/>
      <c r="K1733" t="str">
        <f t="shared" si="27"/>
        <v>DE40-SDR11</v>
      </c>
      <c r="L1733">
        <f>VLOOKUP(K1733,'[1]Tarif - Evolution Marché'!$F:$N,9,0)</f>
        <v>1.1254151054852322</v>
      </c>
    </row>
    <row r="1734" spans="1:12" x14ac:dyDescent="0.3">
      <c r="A1734" s="8" t="s">
        <v>21</v>
      </c>
      <c r="B1734" s="11">
        <v>50</v>
      </c>
      <c r="C1734" s="11" t="s">
        <v>9</v>
      </c>
      <c r="D1734" s="11">
        <v>16</v>
      </c>
      <c r="E1734" s="21">
        <v>1.75</v>
      </c>
      <c r="F1734" s="11" t="s">
        <v>18</v>
      </c>
      <c r="G1734" s="11" t="s">
        <v>17</v>
      </c>
      <c r="H1734" s="12">
        <v>46630</v>
      </c>
      <c r="I1734" s="12"/>
      <c r="J1734" s="13"/>
      <c r="K1734" t="str">
        <f t="shared" si="27"/>
        <v>DE50-SDR11</v>
      </c>
      <c r="L1734">
        <f>VLOOKUP(K1734,'[1]Tarif - Evolution Marché'!$F:$N,9,0)</f>
        <v>1.7451713502109707</v>
      </c>
    </row>
    <row r="1735" spans="1:12" x14ac:dyDescent="0.3">
      <c r="A1735" s="14" t="s">
        <v>21</v>
      </c>
      <c r="B1735" s="15">
        <v>63</v>
      </c>
      <c r="C1735" s="15" t="s">
        <v>9</v>
      </c>
      <c r="D1735" s="15">
        <v>16</v>
      </c>
      <c r="E1735" s="21">
        <v>2.75</v>
      </c>
      <c r="F1735" s="15" t="s">
        <v>18</v>
      </c>
      <c r="G1735" s="15" t="s">
        <v>17</v>
      </c>
      <c r="H1735" s="17">
        <v>46630</v>
      </c>
      <c r="I1735" s="17"/>
      <c r="J1735" s="18"/>
      <c r="K1735" t="str">
        <f t="shared" si="27"/>
        <v>DE63-SDR11</v>
      </c>
      <c r="L1735">
        <f>VLOOKUP(K1735,'[1]Tarif - Evolution Marché'!$F:$N,9,0)</f>
        <v>2.7487097046413504</v>
      </c>
    </row>
    <row r="1736" spans="1:12" x14ac:dyDescent="0.3">
      <c r="A1736" s="8" t="s">
        <v>21</v>
      </c>
      <c r="B1736" s="11">
        <v>75</v>
      </c>
      <c r="C1736" s="11" t="s">
        <v>9</v>
      </c>
      <c r="D1736" s="11">
        <v>16</v>
      </c>
      <c r="E1736" s="21">
        <v>3.84</v>
      </c>
      <c r="F1736" s="11" t="s">
        <v>18</v>
      </c>
      <c r="G1736" s="11" t="s">
        <v>17</v>
      </c>
      <c r="H1736" s="12">
        <v>46630</v>
      </c>
      <c r="I1736" s="12"/>
      <c r="J1736" s="13"/>
      <c r="K1736" t="str">
        <f t="shared" si="27"/>
        <v>DE75-SDR11</v>
      </c>
      <c r="L1736">
        <f>VLOOKUP(K1736,'[1]Tarif - Evolution Marché'!$F:$N,9,0)</f>
        <v>3.8378210970464135</v>
      </c>
    </row>
    <row r="1737" spans="1:12" x14ac:dyDescent="0.3">
      <c r="A1737" s="14" t="s">
        <v>21</v>
      </c>
      <c r="B1737" s="15">
        <v>90</v>
      </c>
      <c r="C1737" s="15" t="s">
        <v>9</v>
      </c>
      <c r="D1737" s="15">
        <v>16</v>
      </c>
      <c r="E1737" s="21">
        <v>5.55</v>
      </c>
      <c r="F1737" s="15" t="s">
        <v>18</v>
      </c>
      <c r="G1737" s="15" t="s">
        <v>17</v>
      </c>
      <c r="H1737" s="17">
        <v>46630</v>
      </c>
      <c r="I1737" s="17"/>
      <c r="J1737" s="18"/>
      <c r="K1737" t="str">
        <f t="shared" si="27"/>
        <v>DE90-SDR11</v>
      </c>
      <c r="L1737">
        <f>VLOOKUP(K1737,'[1]Tarif - Evolution Marché'!$F:$N,9,0)</f>
        <v>5.5492818565400848</v>
      </c>
    </row>
    <row r="1738" spans="1:12" x14ac:dyDescent="0.3">
      <c r="A1738" s="8" t="s">
        <v>21</v>
      </c>
      <c r="B1738" s="11">
        <v>110</v>
      </c>
      <c r="C1738" s="11" t="s">
        <v>9</v>
      </c>
      <c r="D1738" s="11">
        <v>16</v>
      </c>
      <c r="E1738" s="21">
        <v>8.25</v>
      </c>
      <c r="F1738" s="11" t="s">
        <v>18</v>
      </c>
      <c r="G1738" s="11" t="s">
        <v>17</v>
      </c>
      <c r="H1738" s="12">
        <v>46630</v>
      </c>
      <c r="I1738" s="12"/>
      <c r="J1738" s="13"/>
      <c r="K1738" t="str">
        <f t="shared" si="27"/>
        <v>DE110-SDR11</v>
      </c>
      <c r="L1738">
        <f>VLOOKUP(K1738,'[1]Tarif - Evolution Marché'!$F:$N,9,0)</f>
        <v>8.2461291139240505</v>
      </c>
    </row>
    <row r="1739" spans="1:12" x14ac:dyDescent="0.3">
      <c r="A1739" s="14" t="s">
        <v>21</v>
      </c>
      <c r="B1739" s="15">
        <v>125</v>
      </c>
      <c r="C1739" s="15" t="s">
        <v>9</v>
      </c>
      <c r="D1739" s="15">
        <v>16</v>
      </c>
      <c r="E1739" s="21">
        <v>10.68</v>
      </c>
      <c r="F1739" s="15" t="s">
        <v>18</v>
      </c>
      <c r="G1739" s="15" t="s">
        <v>17</v>
      </c>
      <c r="H1739" s="17">
        <v>46630</v>
      </c>
      <c r="I1739" s="17"/>
      <c r="J1739" s="18"/>
      <c r="K1739" t="str">
        <f t="shared" si="27"/>
        <v>DE125-SDR11</v>
      </c>
      <c r="L1739">
        <f>VLOOKUP(K1739,'[1]Tarif - Evolution Marché'!$F:$N,9,0)</f>
        <v>10.683664135021097</v>
      </c>
    </row>
    <row r="1740" spans="1:12" x14ac:dyDescent="0.3">
      <c r="A1740" s="8" t="s">
        <v>21</v>
      </c>
      <c r="B1740" s="11">
        <v>140</v>
      </c>
      <c r="C1740" s="11" t="s">
        <v>9</v>
      </c>
      <c r="D1740" s="11">
        <v>16</v>
      </c>
      <c r="E1740" s="21">
        <v>13.3</v>
      </c>
      <c r="F1740" s="11" t="s">
        <v>18</v>
      </c>
      <c r="G1740" s="11" t="s">
        <v>17</v>
      </c>
      <c r="H1740" s="12">
        <v>46630</v>
      </c>
      <c r="I1740" s="12"/>
      <c r="J1740" s="13"/>
      <c r="K1740" t="str">
        <f t="shared" si="27"/>
        <v>DE140-SDR11</v>
      </c>
      <c r="L1740">
        <f>VLOOKUP(K1740,'[1]Tarif - Evolution Marché'!$F:$N,9,0)</f>
        <v>13.302717721518988</v>
      </c>
    </row>
    <row r="1741" spans="1:12" x14ac:dyDescent="0.3">
      <c r="A1741" s="14" t="s">
        <v>21</v>
      </c>
      <c r="B1741" s="15">
        <v>160</v>
      </c>
      <c r="C1741" s="15" t="s">
        <v>9</v>
      </c>
      <c r="D1741" s="15">
        <v>16</v>
      </c>
      <c r="E1741" s="21">
        <v>17.48</v>
      </c>
      <c r="F1741" s="15" t="s">
        <v>18</v>
      </c>
      <c r="G1741" s="15" t="s">
        <v>17</v>
      </c>
      <c r="H1741" s="17">
        <v>46630</v>
      </c>
      <c r="I1741" s="17"/>
      <c r="J1741" s="18"/>
      <c r="K1741" t="str">
        <f t="shared" si="27"/>
        <v>DE160-SDR11</v>
      </c>
      <c r="L1741">
        <f>VLOOKUP(K1741,'[1]Tarif - Evolution Marché'!$F:$N,9,0)</f>
        <v>17.477644725738397</v>
      </c>
    </row>
    <row r="1742" spans="1:12" x14ac:dyDescent="0.3">
      <c r="A1742" s="8" t="s">
        <v>21</v>
      </c>
      <c r="B1742" s="11">
        <v>180</v>
      </c>
      <c r="C1742" s="11" t="s">
        <v>9</v>
      </c>
      <c r="D1742" s="11">
        <v>16</v>
      </c>
      <c r="E1742" s="21">
        <v>22.07</v>
      </c>
      <c r="F1742" s="11" t="s">
        <v>18</v>
      </c>
      <c r="G1742" s="11" t="s">
        <v>17</v>
      </c>
      <c r="H1742" s="12">
        <v>46630</v>
      </c>
      <c r="I1742" s="12"/>
      <c r="J1742" s="13"/>
      <c r="K1742" t="str">
        <f t="shared" si="27"/>
        <v>DE180-SDR11</v>
      </c>
      <c r="L1742">
        <f>VLOOKUP(K1742,'[1]Tarif - Evolution Marché'!$F:$N,9,0)</f>
        <v>22.067471308016877</v>
      </c>
    </row>
    <row r="1743" spans="1:12" x14ac:dyDescent="0.3">
      <c r="A1743" s="14" t="s">
        <v>21</v>
      </c>
      <c r="B1743" s="15">
        <v>200</v>
      </c>
      <c r="C1743" s="15" t="s">
        <v>9</v>
      </c>
      <c r="D1743" s="15">
        <v>16</v>
      </c>
      <c r="E1743" s="21">
        <v>27.23</v>
      </c>
      <c r="F1743" s="15" t="s">
        <v>18</v>
      </c>
      <c r="G1743" s="15" t="s">
        <v>17</v>
      </c>
      <c r="H1743" s="17">
        <v>46630</v>
      </c>
      <c r="I1743" s="17"/>
      <c r="J1743" s="18"/>
      <c r="K1743" t="str">
        <f t="shared" si="27"/>
        <v>DE200-SDR11</v>
      </c>
      <c r="L1743">
        <f>VLOOKUP(K1743,'[1]Tarif - Evolution Marché'!$F:$N,9,0)</f>
        <v>27.227784810126582</v>
      </c>
    </row>
    <row r="1744" spans="1:12" x14ac:dyDescent="0.3">
      <c r="A1744" s="8" t="s">
        <v>21</v>
      </c>
      <c r="B1744" s="11">
        <v>225</v>
      </c>
      <c r="C1744" s="11" t="s">
        <v>9</v>
      </c>
      <c r="D1744" s="11">
        <v>16</v>
      </c>
      <c r="E1744" s="21">
        <v>34.49</v>
      </c>
      <c r="F1744" s="11" t="s">
        <v>18</v>
      </c>
      <c r="G1744" s="11" t="s">
        <v>17</v>
      </c>
      <c r="H1744" s="12">
        <v>46630</v>
      </c>
      <c r="I1744" s="12"/>
      <c r="J1744" s="13"/>
      <c r="K1744" t="str">
        <f t="shared" si="27"/>
        <v>DE225-SDR11</v>
      </c>
      <c r="L1744">
        <f>VLOOKUP(K1744,'[1]Tarif - Evolution Marché'!$F:$N,9,0)</f>
        <v>34.488527426160339</v>
      </c>
    </row>
    <row r="1745" spans="1:12" x14ac:dyDescent="0.3">
      <c r="A1745" s="14" t="s">
        <v>21</v>
      </c>
      <c r="B1745" s="15">
        <v>250</v>
      </c>
      <c r="C1745" s="15" t="s">
        <v>9</v>
      </c>
      <c r="D1745" s="15">
        <v>16</v>
      </c>
      <c r="E1745" s="21">
        <v>42.27</v>
      </c>
      <c r="F1745" s="15" t="s">
        <v>18</v>
      </c>
      <c r="G1745" s="15" t="s">
        <v>17</v>
      </c>
      <c r="H1745" s="17">
        <v>46630</v>
      </c>
      <c r="I1745" s="17"/>
      <c r="J1745" s="18"/>
      <c r="K1745" t="str">
        <f t="shared" si="27"/>
        <v>DE250-SDR11</v>
      </c>
      <c r="L1745">
        <f>VLOOKUP(K1745,'[1]Tarif - Evolution Marché'!$F:$N,9,0)</f>
        <v>42.267894514767939</v>
      </c>
    </row>
    <row r="1746" spans="1:12" x14ac:dyDescent="0.3">
      <c r="A1746" s="8" t="s">
        <v>21</v>
      </c>
      <c r="B1746" s="11">
        <v>280</v>
      </c>
      <c r="C1746" s="11" t="s">
        <v>9</v>
      </c>
      <c r="D1746" s="11">
        <v>16</v>
      </c>
      <c r="E1746" s="21">
        <v>53.16</v>
      </c>
      <c r="F1746" s="11" t="s">
        <v>18</v>
      </c>
      <c r="G1746" s="11" t="s">
        <v>17</v>
      </c>
      <c r="H1746" s="12">
        <v>46630</v>
      </c>
      <c r="I1746" s="12"/>
      <c r="J1746" s="13"/>
      <c r="K1746" t="str">
        <f t="shared" si="27"/>
        <v>DE280-SDR11</v>
      </c>
      <c r="L1746">
        <f>VLOOKUP(K1746,'[1]Tarif - Evolution Marché'!$F:$N,9,0)</f>
        <v>53.159008438818567</v>
      </c>
    </row>
    <row r="1747" spans="1:12" x14ac:dyDescent="0.3">
      <c r="A1747" s="14" t="s">
        <v>21</v>
      </c>
      <c r="B1747" s="15">
        <v>315</v>
      </c>
      <c r="C1747" s="15" t="s">
        <v>9</v>
      </c>
      <c r="D1747" s="15">
        <v>16</v>
      </c>
      <c r="E1747" s="21">
        <v>67.16</v>
      </c>
      <c r="F1747" s="15" t="s">
        <v>18</v>
      </c>
      <c r="G1747" s="15" t="s">
        <v>17</v>
      </c>
      <c r="H1747" s="17">
        <v>46630</v>
      </c>
      <c r="I1747" s="17"/>
      <c r="J1747" s="18"/>
      <c r="K1747" t="str">
        <f t="shared" si="27"/>
        <v>DE315-SDR11</v>
      </c>
      <c r="L1747">
        <f>VLOOKUP(K1747,'[1]Tarif - Evolution Marché'!$F:$N,9,0)</f>
        <v>67.161869198312232</v>
      </c>
    </row>
    <row r="1748" spans="1:12" x14ac:dyDescent="0.3">
      <c r="A1748" s="8" t="s">
        <v>21</v>
      </c>
      <c r="B1748" s="11">
        <v>355</v>
      </c>
      <c r="C1748" s="11" t="s">
        <v>9</v>
      </c>
      <c r="D1748" s="11">
        <v>16</v>
      </c>
      <c r="E1748" s="21">
        <v>85.31</v>
      </c>
      <c r="F1748" s="11" t="s">
        <v>18</v>
      </c>
      <c r="G1748" s="11" t="s">
        <v>17</v>
      </c>
      <c r="H1748" s="12">
        <v>46630</v>
      </c>
      <c r="I1748" s="12"/>
      <c r="J1748" s="13"/>
      <c r="K1748" t="str">
        <f t="shared" si="27"/>
        <v>DE355-SDR11</v>
      </c>
      <c r="L1748">
        <f>VLOOKUP(K1748,'[1]Tarif - Evolution Marché'!$F:$N,9,0)</f>
        <v>85.313725738396627</v>
      </c>
    </row>
    <row r="1749" spans="1:12" x14ac:dyDescent="0.3">
      <c r="A1749" s="14" t="s">
        <v>21</v>
      </c>
      <c r="B1749" s="15">
        <v>400</v>
      </c>
      <c r="C1749" s="15" t="s">
        <v>9</v>
      </c>
      <c r="D1749" s="15">
        <v>16</v>
      </c>
      <c r="E1749" s="21">
        <v>108.13</v>
      </c>
      <c r="F1749" s="15" t="s">
        <v>18</v>
      </c>
      <c r="G1749" s="15" t="s">
        <v>17</v>
      </c>
      <c r="H1749" s="17">
        <v>46630</v>
      </c>
      <c r="I1749" s="17"/>
      <c r="J1749" s="18"/>
      <c r="K1749" t="str">
        <f t="shared" si="27"/>
        <v>DE400-SDR11</v>
      </c>
      <c r="L1749">
        <f>VLOOKUP(K1749,'[1]Tarif - Evolution Marché'!$F:$N,9,0)</f>
        <v>108.13320253164558</v>
      </c>
    </row>
    <row r="1750" spans="1:12" x14ac:dyDescent="0.3">
      <c r="A1750" s="8" t="s">
        <v>21</v>
      </c>
      <c r="B1750" s="11">
        <v>450</v>
      </c>
      <c r="C1750" s="11" t="s">
        <v>9</v>
      </c>
      <c r="D1750" s="11">
        <v>16</v>
      </c>
      <c r="E1750" s="21">
        <v>136.91999999999999</v>
      </c>
      <c r="F1750" s="11" t="s">
        <v>18</v>
      </c>
      <c r="G1750" s="11" t="s">
        <v>17</v>
      </c>
      <c r="H1750" s="12">
        <v>46630</v>
      </c>
      <c r="I1750" s="12"/>
      <c r="J1750" s="13"/>
      <c r="K1750" t="str">
        <f t="shared" si="27"/>
        <v>DE450-SDR11</v>
      </c>
      <c r="L1750">
        <f>VLOOKUP(K1750,'[1]Tarif - Evolution Marché'!$F:$N,9,0)</f>
        <v>136.91686075949366</v>
      </c>
    </row>
    <row r="1751" spans="1:12" x14ac:dyDescent="0.3">
      <c r="A1751" s="14" t="s">
        <v>21</v>
      </c>
      <c r="B1751" s="15">
        <v>500</v>
      </c>
      <c r="C1751" s="15" t="s">
        <v>9</v>
      </c>
      <c r="D1751" s="15">
        <v>16</v>
      </c>
      <c r="E1751" s="21">
        <v>169.07</v>
      </c>
      <c r="F1751" s="15" t="s">
        <v>18</v>
      </c>
      <c r="G1751" s="15" t="s">
        <v>17</v>
      </c>
      <c r="H1751" s="17">
        <v>46630</v>
      </c>
      <c r="I1751" s="17"/>
      <c r="J1751" s="18"/>
      <c r="K1751" t="str">
        <f t="shared" si="27"/>
        <v>DE500-SDR11</v>
      </c>
      <c r="L1751">
        <f>VLOOKUP(K1751,'[1]Tarif - Evolution Marché'!$F:$N,9,0)</f>
        <v>169.07157805907175</v>
      </c>
    </row>
    <row r="1752" spans="1:12" x14ac:dyDescent="0.3">
      <c r="A1752" s="8" t="s">
        <v>21</v>
      </c>
      <c r="B1752" s="11">
        <v>560</v>
      </c>
      <c r="C1752" s="11" t="s">
        <v>9</v>
      </c>
      <c r="D1752" s="11">
        <v>16</v>
      </c>
      <c r="E1752" s="21">
        <v>211.86</v>
      </c>
      <c r="F1752" s="11" t="s">
        <v>18</v>
      </c>
      <c r="G1752" s="11" t="s">
        <v>17</v>
      </c>
      <c r="H1752" s="12">
        <v>46630</v>
      </c>
      <c r="I1752" s="12"/>
      <c r="J1752" s="13"/>
      <c r="K1752" t="str">
        <f t="shared" si="27"/>
        <v>DE560-SDR11</v>
      </c>
      <c r="L1752">
        <f>VLOOKUP(K1752,'[1]Tarif - Evolution Marché'!$F:$N,9,0)</f>
        <v>211.85809704641352</v>
      </c>
    </row>
    <row r="1753" spans="1:12" x14ac:dyDescent="0.3">
      <c r="A1753" s="14" t="s">
        <v>21</v>
      </c>
      <c r="B1753" s="15">
        <v>630</v>
      </c>
      <c r="C1753" s="15" t="s">
        <v>9</v>
      </c>
      <c r="D1753" s="15">
        <v>16</v>
      </c>
      <c r="E1753" s="21">
        <v>267.08999999999997</v>
      </c>
      <c r="F1753" s="15" t="s">
        <v>18</v>
      </c>
      <c r="G1753" s="15" t="s">
        <v>17</v>
      </c>
      <c r="H1753" s="17">
        <v>46630</v>
      </c>
      <c r="I1753" s="17"/>
      <c r="J1753" s="18"/>
      <c r="K1753" t="str">
        <f t="shared" si="27"/>
        <v>DE630-SDR11</v>
      </c>
      <c r="L1753">
        <f>VLOOKUP(K1753,'[1]Tarif - Evolution Marché'!$F:$N,9,0)</f>
        <v>267.09160337552743</v>
      </c>
    </row>
    <row r="1754" spans="1:12" x14ac:dyDescent="0.3">
      <c r="A1754" s="8" t="s">
        <v>21</v>
      </c>
      <c r="B1754" s="11">
        <v>710</v>
      </c>
      <c r="C1754" s="11" t="s">
        <v>9</v>
      </c>
      <c r="D1754" s="11">
        <v>16</v>
      </c>
      <c r="E1754" s="21">
        <v>339.7</v>
      </c>
      <c r="F1754" s="11" t="s">
        <v>18</v>
      </c>
      <c r="G1754" s="11" t="s">
        <v>17</v>
      </c>
      <c r="H1754" s="12">
        <v>46630</v>
      </c>
      <c r="I1754" s="12"/>
      <c r="J1754" s="13"/>
      <c r="K1754" t="str">
        <f t="shared" si="27"/>
        <v>DE710-SDR11</v>
      </c>
      <c r="L1754">
        <f>VLOOKUP(K1754,'[1]Tarif - Evolution Marché'!$F:$N,9,0)</f>
        <v>339.69902953586501</v>
      </c>
    </row>
    <row r="1755" spans="1:12" x14ac:dyDescent="0.3">
      <c r="A1755" s="14" t="s">
        <v>21</v>
      </c>
      <c r="B1755" s="15">
        <v>16</v>
      </c>
      <c r="C1755" s="15" t="s">
        <v>10</v>
      </c>
      <c r="D1755" s="15">
        <v>20</v>
      </c>
      <c r="E1755" s="21">
        <v>0.24</v>
      </c>
      <c r="F1755" s="15" t="s">
        <v>18</v>
      </c>
      <c r="G1755" s="15" t="s">
        <v>17</v>
      </c>
      <c r="H1755" s="17">
        <v>46630</v>
      </c>
      <c r="I1755" s="17"/>
      <c r="J1755" s="18"/>
      <c r="K1755" t="str">
        <f t="shared" si="27"/>
        <v>DE16-SDR9</v>
      </c>
      <c r="L1755">
        <f>VLOOKUP(K1755,'[1]Tarif - Evolution Marché'!$F:$N,9,0)</f>
        <v>0.23856725738396625</v>
      </c>
    </row>
    <row r="1756" spans="1:12" x14ac:dyDescent="0.3">
      <c r="A1756" s="8" t="s">
        <v>21</v>
      </c>
      <c r="B1756" s="11">
        <v>20</v>
      </c>
      <c r="C1756" s="11" t="s">
        <v>10</v>
      </c>
      <c r="D1756" s="11">
        <v>20</v>
      </c>
      <c r="E1756" s="21">
        <v>0.35</v>
      </c>
      <c r="F1756" s="11" t="s">
        <v>18</v>
      </c>
      <c r="G1756" s="11" t="s">
        <v>17</v>
      </c>
      <c r="H1756" s="12">
        <v>46630</v>
      </c>
      <c r="I1756" s="12"/>
      <c r="J1756" s="13"/>
      <c r="K1756" t="str">
        <f t="shared" si="27"/>
        <v>DE20-SDR9</v>
      </c>
      <c r="L1756">
        <f>VLOOKUP(K1756,'[1]Tarif - Evolution Marché'!$F:$N,9,0)</f>
        <v>0.34747839662447261</v>
      </c>
    </row>
    <row r="1757" spans="1:12" x14ac:dyDescent="0.3">
      <c r="A1757" s="14" t="s">
        <v>21</v>
      </c>
      <c r="B1757" s="15">
        <v>25</v>
      </c>
      <c r="C1757" s="15" t="s">
        <v>10</v>
      </c>
      <c r="D1757" s="15">
        <v>20</v>
      </c>
      <c r="E1757" s="21">
        <v>0.52</v>
      </c>
      <c r="F1757" s="15" t="s">
        <v>18</v>
      </c>
      <c r="G1757" s="15" t="s">
        <v>17</v>
      </c>
      <c r="H1757" s="17">
        <v>46630</v>
      </c>
      <c r="I1757" s="17"/>
      <c r="J1757" s="18"/>
      <c r="K1757" t="str">
        <f t="shared" si="27"/>
        <v>DE25-SDR9</v>
      </c>
      <c r="L1757">
        <f>VLOOKUP(K1757,'[1]Tarif - Evolution Marché'!$F:$N,9,0)</f>
        <v>0.52381071729957807</v>
      </c>
    </row>
    <row r="1758" spans="1:12" x14ac:dyDescent="0.3">
      <c r="A1758" s="8" t="s">
        <v>21</v>
      </c>
      <c r="B1758" s="11">
        <v>32</v>
      </c>
      <c r="C1758" s="11" t="s">
        <v>10</v>
      </c>
      <c r="D1758" s="11">
        <v>20</v>
      </c>
      <c r="E1758" s="21">
        <v>0.86</v>
      </c>
      <c r="F1758" s="11" t="s">
        <v>18</v>
      </c>
      <c r="G1758" s="11" t="s">
        <v>17</v>
      </c>
      <c r="H1758" s="12">
        <v>46630</v>
      </c>
      <c r="I1758" s="12"/>
      <c r="J1758" s="13"/>
      <c r="K1758" t="str">
        <f t="shared" si="27"/>
        <v>DE32-SDR9</v>
      </c>
      <c r="L1758">
        <f>VLOOKUP(K1758,'[1]Tarif - Evolution Marché'!$F:$N,9,0)</f>
        <v>0.85832350210970476</v>
      </c>
    </row>
    <row r="1759" spans="1:12" x14ac:dyDescent="0.3">
      <c r="A1759" s="14" t="s">
        <v>21</v>
      </c>
      <c r="B1759" s="15">
        <v>40</v>
      </c>
      <c r="C1759" s="15" t="s">
        <v>10</v>
      </c>
      <c r="D1759" s="15">
        <v>20</v>
      </c>
      <c r="E1759" s="21">
        <v>1.33</v>
      </c>
      <c r="F1759" s="15" t="s">
        <v>18</v>
      </c>
      <c r="G1759" s="15" t="s">
        <v>17</v>
      </c>
      <c r="H1759" s="17">
        <v>46630</v>
      </c>
      <c r="I1759" s="17"/>
      <c r="J1759" s="18"/>
      <c r="K1759" t="str">
        <f t="shared" si="27"/>
        <v>DE40-SDR9</v>
      </c>
      <c r="L1759">
        <f>VLOOKUP(K1759,'[1]Tarif - Evolution Marché'!$F:$N,9,0)</f>
        <v>1.3328648945147681</v>
      </c>
    </row>
    <row r="1760" spans="1:12" x14ac:dyDescent="0.3">
      <c r="A1760" s="8" t="s">
        <v>21</v>
      </c>
      <c r="B1760" s="11">
        <v>50</v>
      </c>
      <c r="C1760" s="11" t="s">
        <v>10</v>
      </c>
      <c r="D1760" s="11">
        <v>20</v>
      </c>
      <c r="E1760" s="21">
        <v>2.06</v>
      </c>
      <c r="F1760" s="11" t="s">
        <v>18</v>
      </c>
      <c r="G1760" s="11" t="s">
        <v>17</v>
      </c>
      <c r="H1760" s="12">
        <v>46630</v>
      </c>
      <c r="I1760" s="12"/>
      <c r="J1760" s="13"/>
      <c r="K1760" t="str">
        <f t="shared" si="27"/>
        <v>DE50-SDR9</v>
      </c>
      <c r="L1760">
        <f>VLOOKUP(K1760,'[1]Tarif - Evolution Marché'!$F:$N,9,0)</f>
        <v>2.0641254008438819</v>
      </c>
    </row>
    <row r="1761" spans="1:12" x14ac:dyDescent="0.3">
      <c r="A1761" s="14" t="s">
        <v>21</v>
      </c>
      <c r="B1761" s="15">
        <v>63</v>
      </c>
      <c r="C1761" s="15" t="s">
        <v>10</v>
      </c>
      <c r="D1761" s="15">
        <v>20</v>
      </c>
      <c r="E1761" s="21">
        <v>3.29</v>
      </c>
      <c r="F1761" s="15" t="s">
        <v>18</v>
      </c>
      <c r="G1761" s="15" t="s">
        <v>17</v>
      </c>
      <c r="H1761" s="17">
        <v>46630</v>
      </c>
      <c r="I1761" s="17"/>
      <c r="J1761" s="18"/>
      <c r="K1761" t="str">
        <f t="shared" si="27"/>
        <v>DE63-SDR9</v>
      </c>
      <c r="L1761">
        <f>VLOOKUP(K1761,'[1]Tarif - Evolution Marché'!$F:$N,9,0)</f>
        <v>3.293265400843882</v>
      </c>
    </row>
    <row r="1762" spans="1:12" x14ac:dyDescent="0.3">
      <c r="A1762" s="8" t="s">
        <v>21</v>
      </c>
      <c r="B1762" s="11">
        <v>75</v>
      </c>
      <c r="C1762" s="11" t="s">
        <v>10</v>
      </c>
      <c r="D1762" s="11">
        <v>20</v>
      </c>
      <c r="E1762" s="21">
        <v>4.62</v>
      </c>
      <c r="F1762" s="11" t="s">
        <v>18</v>
      </c>
      <c r="G1762" s="11" t="s">
        <v>17</v>
      </c>
      <c r="H1762" s="12">
        <v>46630</v>
      </c>
      <c r="I1762" s="12"/>
      <c r="J1762" s="13"/>
      <c r="K1762" t="str">
        <f t="shared" si="27"/>
        <v>DE75-SDR9</v>
      </c>
      <c r="L1762">
        <f>VLOOKUP(K1762,'[1]Tarif - Evolution Marché'!$F:$N,9,0)</f>
        <v>4.6157578059071733</v>
      </c>
    </row>
    <row r="1763" spans="1:12" x14ac:dyDescent="0.3">
      <c r="A1763" s="14" t="s">
        <v>21</v>
      </c>
      <c r="B1763" s="15">
        <v>90</v>
      </c>
      <c r="C1763" s="15" t="s">
        <v>10</v>
      </c>
      <c r="D1763" s="15">
        <v>20</v>
      </c>
      <c r="E1763" s="21">
        <v>6.66</v>
      </c>
      <c r="F1763" s="15" t="s">
        <v>18</v>
      </c>
      <c r="G1763" s="15" t="s">
        <v>17</v>
      </c>
      <c r="H1763" s="17">
        <v>46630</v>
      </c>
      <c r="I1763" s="17"/>
      <c r="J1763" s="18"/>
      <c r="K1763" t="str">
        <f t="shared" si="27"/>
        <v>DE90-SDR9</v>
      </c>
      <c r="L1763">
        <f>VLOOKUP(K1763,'[1]Tarif - Evolution Marché'!$F:$N,9,0)</f>
        <v>6.6643244725738393</v>
      </c>
    </row>
    <row r="1764" spans="1:12" x14ac:dyDescent="0.3">
      <c r="A1764" s="8" t="s">
        <v>21</v>
      </c>
      <c r="B1764" s="11">
        <v>110</v>
      </c>
      <c r="C1764" s="11" t="s">
        <v>10</v>
      </c>
      <c r="D1764" s="11">
        <v>20</v>
      </c>
      <c r="E1764" s="21">
        <v>9.91</v>
      </c>
      <c r="F1764" s="11" t="s">
        <v>18</v>
      </c>
      <c r="G1764" s="11" t="s">
        <v>17</v>
      </c>
      <c r="H1764" s="12">
        <v>46630</v>
      </c>
      <c r="I1764" s="12"/>
      <c r="J1764" s="13"/>
      <c r="K1764" t="str">
        <f t="shared" si="27"/>
        <v>DE110-SDR9</v>
      </c>
      <c r="L1764">
        <f>VLOOKUP(K1764,'[1]Tarif - Evolution Marché'!$F:$N,9,0)</f>
        <v>9.9057274261603379</v>
      </c>
    </row>
    <row r="1765" spans="1:12" x14ac:dyDescent="0.3">
      <c r="A1765" s="14" t="s">
        <v>21</v>
      </c>
      <c r="B1765" s="15">
        <v>125</v>
      </c>
      <c r="C1765" s="15" t="s">
        <v>10</v>
      </c>
      <c r="D1765" s="15">
        <v>20</v>
      </c>
      <c r="E1765" s="21">
        <v>12.76</v>
      </c>
      <c r="F1765" s="15" t="s">
        <v>18</v>
      </c>
      <c r="G1765" s="15" t="s">
        <v>17</v>
      </c>
      <c r="H1765" s="17">
        <v>46630</v>
      </c>
      <c r="I1765" s="17"/>
      <c r="J1765" s="18"/>
      <c r="K1765" t="str">
        <f t="shared" si="27"/>
        <v>DE125-SDR9</v>
      </c>
      <c r="L1765">
        <f>VLOOKUP(K1765,'[1]Tarif - Evolution Marché'!$F:$N,9,0)</f>
        <v>12.758162025316455</v>
      </c>
    </row>
    <row r="1766" spans="1:12" x14ac:dyDescent="0.3">
      <c r="A1766" s="8" t="s">
        <v>21</v>
      </c>
      <c r="B1766" s="11">
        <v>140</v>
      </c>
      <c r="C1766" s="11" t="s">
        <v>10</v>
      </c>
      <c r="D1766" s="11">
        <v>20</v>
      </c>
      <c r="E1766" s="21">
        <v>16.03</v>
      </c>
      <c r="F1766" s="11" t="s">
        <v>18</v>
      </c>
      <c r="G1766" s="11" t="s">
        <v>17</v>
      </c>
      <c r="H1766" s="12">
        <v>46630</v>
      </c>
      <c r="I1766" s="12"/>
      <c r="J1766" s="13"/>
      <c r="K1766" t="str">
        <f t="shared" si="27"/>
        <v>DE140-SDR9</v>
      </c>
      <c r="L1766">
        <f>VLOOKUP(K1766,'[1]Tarif - Evolution Marché'!$F:$N,9,0)</f>
        <v>16.025496202531645</v>
      </c>
    </row>
    <row r="1767" spans="1:12" x14ac:dyDescent="0.3">
      <c r="A1767" s="14" t="s">
        <v>21</v>
      </c>
      <c r="B1767" s="15">
        <v>160</v>
      </c>
      <c r="C1767" s="15" t="s">
        <v>10</v>
      </c>
      <c r="D1767" s="15">
        <v>20</v>
      </c>
      <c r="E1767" s="21">
        <v>20.85</v>
      </c>
      <c r="F1767" s="15" t="s">
        <v>18</v>
      </c>
      <c r="G1767" s="15" t="s">
        <v>17</v>
      </c>
      <c r="H1767" s="17">
        <v>46630</v>
      </c>
      <c r="I1767" s="17"/>
      <c r="J1767" s="18"/>
      <c r="K1767" t="str">
        <f t="shared" si="27"/>
        <v>DE160-SDR9</v>
      </c>
      <c r="L1767">
        <f>VLOOKUP(K1767,'[1]Tarif - Evolution Marché'!$F:$N,9,0)</f>
        <v>20.848703797468353</v>
      </c>
    </row>
    <row r="1768" spans="1:12" x14ac:dyDescent="0.3">
      <c r="A1768" s="8" t="s">
        <v>21</v>
      </c>
      <c r="B1768" s="11">
        <v>180</v>
      </c>
      <c r="C1768" s="11" t="s">
        <v>10</v>
      </c>
      <c r="D1768" s="11">
        <v>20</v>
      </c>
      <c r="E1768" s="21">
        <v>26.45</v>
      </c>
      <c r="F1768" s="11" t="s">
        <v>18</v>
      </c>
      <c r="G1768" s="11" t="s">
        <v>17</v>
      </c>
      <c r="H1768" s="12">
        <v>46630</v>
      </c>
      <c r="I1768" s="12"/>
      <c r="J1768" s="13"/>
      <c r="K1768" t="str">
        <f t="shared" si="27"/>
        <v>DE180-SDR9</v>
      </c>
      <c r="L1768">
        <f>VLOOKUP(K1768,'[1]Tarif - Evolution Marché'!$F:$N,9,0)</f>
        <v>26.449848101265822</v>
      </c>
    </row>
    <row r="1769" spans="1:12" x14ac:dyDescent="0.3">
      <c r="A1769" s="14" t="s">
        <v>21</v>
      </c>
      <c r="B1769" s="15">
        <v>200</v>
      </c>
      <c r="C1769" s="15" t="s">
        <v>10</v>
      </c>
      <c r="D1769" s="15">
        <v>20</v>
      </c>
      <c r="E1769" s="21">
        <v>32.67</v>
      </c>
      <c r="F1769" s="15" t="s">
        <v>18</v>
      </c>
      <c r="G1769" s="15" t="s">
        <v>17</v>
      </c>
      <c r="H1769" s="17">
        <v>46630</v>
      </c>
      <c r="I1769" s="17"/>
      <c r="J1769" s="18"/>
      <c r="K1769" t="str">
        <f t="shared" si="27"/>
        <v>DE200-SDR9</v>
      </c>
      <c r="L1769">
        <f>VLOOKUP(K1769,'[1]Tarif - Evolution Marché'!$F:$N,9,0)</f>
        <v>32.6733417721519</v>
      </c>
    </row>
    <row r="1770" spans="1:12" x14ac:dyDescent="0.3">
      <c r="A1770" s="8" t="s">
        <v>21</v>
      </c>
      <c r="B1770" s="11">
        <v>225</v>
      </c>
      <c r="C1770" s="11" t="s">
        <v>10</v>
      </c>
      <c r="D1770" s="11">
        <v>20</v>
      </c>
      <c r="E1770" s="21">
        <v>41.23</v>
      </c>
      <c r="F1770" s="11" t="s">
        <v>18</v>
      </c>
      <c r="G1770" s="11" t="s">
        <v>17</v>
      </c>
      <c r="H1770" s="12">
        <v>46630</v>
      </c>
      <c r="I1770" s="12"/>
      <c r="J1770" s="13"/>
      <c r="K1770" t="str">
        <f t="shared" si="27"/>
        <v>DE225-SDR9</v>
      </c>
      <c r="L1770">
        <f>VLOOKUP(K1770,'[1]Tarif - Evolution Marché'!$F:$N,9,0)</f>
        <v>41.230645569620258</v>
      </c>
    </row>
    <row r="1771" spans="1:12" x14ac:dyDescent="0.3">
      <c r="A1771" s="14" t="s">
        <v>21</v>
      </c>
      <c r="B1771" s="15">
        <v>250</v>
      </c>
      <c r="C1771" s="15" t="s">
        <v>10</v>
      </c>
      <c r="D1771" s="15">
        <v>20</v>
      </c>
      <c r="E1771" s="21">
        <v>50.83</v>
      </c>
      <c r="F1771" s="15" t="s">
        <v>18</v>
      </c>
      <c r="G1771" s="15" t="s">
        <v>17</v>
      </c>
      <c r="H1771" s="17">
        <v>46630</v>
      </c>
      <c r="I1771" s="17"/>
      <c r="J1771" s="18"/>
      <c r="K1771" t="str">
        <f t="shared" si="27"/>
        <v>DE250-SDR9</v>
      </c>
      <c r="L1771">
        <f>VLOOKUP(K1771,'[1]Tarif - Evolution Marché'!$F:$N,9,0)</f>
        <v>50.825198312236289</v>
      </c>
    </row>
    <row r="1772" spans="1:12" x14ac:dyDescent="0.3">
      <c r="A1772" s="8" t="s">
        <v>21</v>
      </c>
      <c r="B1772" s="11">
        <v>280</v>
      </c>
      <c r="C1772" s="11" t="s">
        <v>10</v>
      </c>
      <c r="D1772" s="11">
        <v>20</v>
      </c>
      <c r="E1772" s="21">
        <v>63.79</v>
      </c>
      <c r="F1772" s="11" t="s">
        <v>18</v>
      </c>
      <c r="G1772" s="11" t="s">
        <v>17</v>
      </c>
      <c r="H1772" s="12">
        <v>46630</v>
      </c>
      <c r="I1772" s="12"/>
      <c r="J1772" s="13"/>
      <c r="K1772" t="str">
        <f t="shared" si="27"/>
        <v>DE280-SDR9</v>
      </c>
      <c r="L1772">
        <f>VLOOKUP(K1772,'[1]Tarif - Evolution Marché'!$F:$N,9,0)</f>
        <v>63.790810126582286</v>
      </c>
    </row>
    <row r="1773" spans="1:12" x14ac:dyDescent="0.3">
      <c r="A1773" s="14" t="s">
        <v>21</v>
      </c>
      <c r="B1773" s="15">
        <v>315</v>
      </c>
      <c r="C1773" s="15" t="s">
        <v>10</v>
      </c>
      <c r="D1773" s="15">
        <v>20</v>
      </c>
      <c r="E1773" s="21">
        <v>80.650000000000006</v>
      </c>
      <c r="F1773" s="15" t="s">
        <v>18</v>
      </c>
      <c r="G1773" s="15" t="s">
        <v>17</v>
      </c>
      <c r="H1773" s="17">
        <v>46630</v>
      </c>
      <c r="I1773" s="17"/>
      <c r="J1773" s="18"/>
      <c r="K1773" t="str">
        <f t="shared" si="27"/>
        <v>DE315-SDR9</v>
      </c>
      <c r="L1773">
        <f>VLOOKUP(K1773,'[1]Tarif - Evolution Marché'!$F:$N,9,0)</f>
        <v>80.64610548523207</v>
      </c>
    </row>
    <row r="1774" spans="1:12" x14ac:dyDescent="0.3">
      <c r="A1774" s="8" t="s">
        <v>21</v>
      </c>
      <c r="B1774" s="11">
        <v>355</v>
      </c>
      <c r="C1774" s="11" t="s">
        <v>10</v>
      </c>
      <c r="D1774" s="11">
        <v>20</v>
      </c>
      <c r="E1774" s="21">
        <v>102.43</v>
      </c>
      <c r="F1774" s="11" t="s">
        <v>18</v>
      </c>
      <c r="G1774" s="11" t="s">
        <v>17</v>
      </c>
      <c r="H1774" s="12">
        <v>46630</v>
      </c>
      <c r="I1774" s="12"/>
      <c r="J1774" s="13"/>
      <c r="K1774" t="str">
        <f t="shared" si="27"/>
        <v>DE355-SDR9</v>
      </c>
      <c r="L1774">
        <f>VLOOKUP(K1774,'[1]Tarif - Evolution Marché'!$F:$N,9,0)</f>
        <v>102.42833333333334</v>
      </c>
    </row>
    <row r="1775" spans="1:12" x14ac:dyDescent="0.3">
      <c r="A1775" s="14" t="s">
        <v>21</v>
      </c>
      <c r="B1775" s="15">
        <v>400</v>
      </c>
      <c r="C1775" s="15" t="s">
        <v>10</v>
      </c>
      <c r="D1775" s="15">
        <v>20</v>
      </c>
      <c r="E1775" s="21">
        <v>129.91999999999999</v>
      </c>
      <c r="F1775" s="15" t="s">
        <v>18</v>
      </c>
      <c r="G1775" s="15" t="s">
        <v>17</v>
      </c>
      <c r="H1775" s="17">
        <v>46630</v>
      </c>
      <c r="I1775" s="17"/>
      <c r="J1775" s="18"/>
      <c r="K1775" t="str">
        <f t="shared" si="27"/>
        <v>DE400-SDR9</v>
      </c>
      <c r="L1775">
        <f>VLOOKUP(K1775,'[1]Tarif - Evolution Marché'!$F:$N,9,0)</f>
        <v>129.91543037974685</v>
      </c>
    </row>
    <row r="1776" spans="1:12" x14ac:dyDescent="0.3">
      <c r="A1776" s="8" t="s">
        <v>21</v>
      </c>
      <c r="B1776" s="11">
        <v>450</v>
      </c>
      <c r="C1776" s="11" t="s">
        <v>10</v>
      </c>
      <c r="D1776" s="11">
        <v>20</v>
      </c>
      <c r="E1776" s="21">
        <v>164.4</v>
      </c>
      <c r="F1776" s="11" t="s">
        <v>18</v>
      </c>
      <c r="G1776" s="11" t="s">
        <v>17</v>
      </c>
      <c r="H1776" s="12">
        <v>46630</v>
      </c>
      <c r="I1776" s="12"/>
      <c r="J1776" s="13"/>
      <c r="K1776" t="str">
        <f t="shared" si="27"/>
        <v>DE450-SDR9</v>
      </c>
      <c r="L1776">
        <f>VLOOKUP(K1776,'[1]Tarif - Evolution Marché'!$F:$N,9,0)</f>
        <v>164.40395780590717</v>
      </c>
    </row>
    <row r="1777" spans="1:12" x14ac:dyDescent="0.3">
      <c r="A1777" s="14" t="s">
        <v>21</v>
      </c>
      <c r="B1777" s="15">
        <v>500</v>
      </c>
      <c r="C1777" s="15" t="s">
        <v>10</v>
      </c>
      <c r="D1777" s="15">
        <v>20</v>
      </c>
      <c r="E1777" s="21">
        <v>202.52</v>
      </c>
      <c r="F1777" s="15" t="s">
        <v>18</v>
      </c>
      <c r="G1777" s="15" t="s">
        <v>17</v>
      </c>
      <c r="H1777" s="17">
        <v>46630</v>
      </c>
      <c r="I1777" s="17"/>
      <c r="J1777" s="18"/>
      <c r="K1777" t="str">
        <f t="shared" si="27"/>
        <v>DE500-SDR9</v>
      </c>
      <c r="L1777">
        <f>VLOOKUP(K1777,'[1]Tarif - Evolution Marché'!$F:$N,9,0)</f>
        <v>202.52285654008438</v>
      </c>
    </row>
    <row r="1778" spans="1:12" x14ac:dyDescent="0.3">
      <c r="A1778" s="8" t="s">
        <v>21</v>
      </c>
      <c r="B1778" s="11">
        <v>560</v>
      </c>
      <c r="C1778" s="11" t="s">
        <v>10</v>
      </c>
      <c r="D1778" s="11">
        <v>20</v>
      </c>
      <c r="E1778" s="21">
        <v>254.13</v>
      </c>
      <c r="F1778" s="11" t="s">
        <v>18</v>
      </c>
      <c r="G1778" s="11" t="s">
        <v>17</v>
      </c>
      <c r="H1778" s="12">
        <v>46630</v>
      </c>
      <c r="I1778" s="12"/>
      <c r="J1778" s="13"/>
      <c r="K1778" t="str">
        <f t="shared" si="27"/>
        <v>DE560-SDR9</v>
      </c>
      <c r="L1778">
        <f>VLOOKUP(K1778,'[1]Tarif - Evolution Marché'!$F:$N,9,0)</f>
        <v>254.12599156118145</v>
      </c>
    </row>
    <row r="1779" spans="1:12" x14ac:dyDescent="0.3">
      <c r="A1779" s="14" t="s">
        <v>21</v>
      </c>
      <c r="B1779" s="15">
        <v>16</v>
      </c>
      <c r="C1779" s="15" t="s">
        <v>11</v>
      </c>
      <c r="D1779" s="15">
        <v>25</v>
      </c>
      <c r="E1779" s="21">
        <v>0.27</v>
      </c>
      <c r="F1779" s="15" t="s">
        <v>18</v>
      </c>
      <c r="G1779" s="15" t="s">
        <v>17</v>
      </c>
      <c r="H1779" s="17">
        <v>46630</v>
      </c>
      <c r="I1779" s="17"/>
      <c r="J1779" s="18"/>
      <c r="K1779" t="str">
        <f t="shared" si="27"/>
        <v>DE16-SDR7,4</v>
      </c>
      <c r="L1779">
        <f>VLOOKUP(K1779,'[1]Tarif - Evolution Marché'!$F:$N,9,0)</f>
        <v>0.2670916033755274</v>
      </c>
    </row>
    <row r="1780" spans="1:12" x14ac:dyDescent="0.3">
      <c r="A1780" s="8" t="s">
        <v>21</v>
      </c>
      <c r="B1780" s="11">
        <v>20</v>
      </c>
      <c r="C1780" s="11" t="s">
        <v>11</v>
      </c>
      <c r="D1780" s="11">
        <v>25</v>
      </c>
      <c r="E1780" s="21">
        <v>0.43</v>
      </c>
      <c r="F1780" s="11" t="s">
        <v>18</v>
      </c>
      <c r="G1780" s="11" t="s">
        <v>17</v>
      </c>
      <c r="H1780" s="12">
        <v>46630</v>
      </c>
      <c r="I1780" s="12"/>
      <c r="J1780" s="13"/>
      <c r="K1780" t="str">
        <f t="shared" si="27"/>
        <v>DE20-SDR7,4</v>
      </c>
      <c r="L1780">
        <f>VLOOKUP(K1780,'[1]Tarif - Evolution Marché'!$F:$N,9,0)</f>
        <v>0.42527206751054858</v>
      </c>
    </row>
    <row r="1781" spans="1:12" x14ac:dyDescent="0.3">
      <c r="A1781" s="14" t="s">
        <v>21</v>
      </c>
      <c r="B1781" s="15">
        <v>25</v>
      </c>
      <c r="C1781" s="15" t="s">
        <v>11</v>
      </c>
      <c r="D1781" s="15">
        <v>25</v>
      </c>
      <c r="E1781" s="21">
        <v>0.63</v>
      </c>
      <c r="F1781" s="15" t="s">
        <v>18</v>
      </c>
      <c r="G1781" s="15" t="s">
        <v>17</v>
      </c>
      <c r="H1781" s="17">
        <v>46630</v>
      </c>
      <c r="I1781" s="17"/>
      <c r="J1781" s="18"/>
      <c r="K1781" t="str">
        <f t="shared" si="27"/>
        <v>DE25-SDR7,4</v>
      </c>
      <c r="L1781">
        <f>VLOOKUP(K1781,'[1]Tarif - Evolution Marché'!$F:$N,9,0)</f>
        <v>0.63012873417721516</v>
      </c>
    </row>
    <row r="1782" spans="1:12" x14ac:dyDescent="0.3">
      <c r="A1782" s="8" t="s">
        <v>21</v>
      </c>
      <c r="B1782" s="11">
        <v>32</v>
      </c>
      <c r="C1782" s="11" t="s">
        <v>11</v>
      </c>
      <c r="D1782" s="11">
        <v>25</v>
      </c>
      <c r="E1782" s="21">
        <v>1.01</v>
      </c>
      <c r="F1782" s="11" t="s">
        <v>18</v>
      </c>
      <c r="G1782" s="11" t="s">
        <v>17</v>
      </c>
      <c r="H1782" s="12">
        <v>46630</v>
      </c>
      <c r="I1782" s="12"/>
      <c r="J1782" s="13"/>
      <c r="K1782" t="str">
        <f t="shared" si="27"/>
        <v>DE32-SDR7,4</v>
      </c>
      <c r="L1782">
        <f>VLOOKUP(K1782,'[1]Tarif - Evolution Marché'!$F:$N,9,0)</f>
        <v>1.0113177215189875</v>
      </c>
    </row>
    <row r="1783" spans="1:12" x14ac:dyDescent="0.3">
      <c r="A1783" s="14" t="s">
        <v>21</v>
      </c>
      <c r="B1783" s="15">
        <v>40</v>
      </c>
      <c r="C1783" s="15" t="s">
        <v>11</v>
      </c>
      <c r="D1783" s="15">
        <v>25</v>
      </c>
      <c r="E1783" s="21">
        <v>1.57</v>
      </c>
      <c r="F1783" s="15" t="s">
        <v>18</v>
      </c>
      <c r="G1783" s="15" t="s">
        <v>17</v>
      </c>
      <c r="H1783" s="17">
        <v>46630</v>
      </c>
      <c r="I1783" s="17"/>
      <c r="J1783" s="18"/>
      <c r="K1783" t="str">
        <f t="shared" si="27"/>
        <v>DE40-SDR7,4</v>
      </c>
      <c r="L1783">
        <f>VLOOKUP(K1783,'[1]Tarif - Evolution Marché'!$F:$N,9,0)</f>
        <v>1.5740252742616034</v>
      </c>
    </row>
    <row r="1784" spans="1:12" x14ac:dyDescent="0.3">
      <c r="A1784" s="8" t="s">
        <v>21</v>
      </c>
      <c r="B1784" s="11">
        <v>50</v>
      </c>
      <c r="C1784" s="11" t="s">
        <v>11</v>
      </c>
      <c r="D1784" s="11">
        <v>25</v>
      </c>
      <c r="E1784" s="21">
        <v>2.4500000000000002</v>
      </c>
      <c r="F1784" s="11" t="s">
        <v>18</v>
      </c>
      <c r="G1784" s="11" t="s">
        <v>17</v>
      </c>
      <c r="H1784" s="12">
        <v>46630</v>
      </c>
      <c r="I1784" s="12"/>
      <c r="J1784" s="13"/>
      <c r="K1784" t="str">
        <f t="shared" si="27"/>
        <v>DE50-SDR7,4</v>
      </c>
      <c r="L1784">
        <f>VLOOKUP(K1784,'[1]Tarif - Evolution Marché'!$F:$N,9,0)</f>
        <v>2.4505006329113925</v>
      </c>
    </row>
    <row r="1785" spans="1:12" x14ac:dyDescent="0.3">
      <c r="A1785" s="14" t="s">
        <v>21</v>
      </c>
      <c r="B1785" s="15">
        <v>63</v>
      </c>
      <c r="C1785" s="15" t="s">
        <v>11</v>
      </c>
      <c r="D1785" s="15">
        <v>25</v>
      </c>
      <c r="E1785" s="21">
        <v>3.86</v>
      </c>
      <c r="F1785" s="15" t="s">
        <v>18</v>
      </c>
      <c r="G1785" s="15" t="s">
        <v>17</v>
      </c>
      <c r="H1785" s="17">
        <v>46630</v>
      </c>
      <c r="I1785" s="17"/>
      <c r="J1785" s="18"/>
      <c r="K1785" t="str">
        <f t="shared" si="27"/>
        <v>DE63-SDR7,4</v>
      </c>
      <c r="L1785">
        <f>VLOOKUP(K1785,'[1]Tarif - Evolution Marché'!$F:$N,9,0)</f>
        <v>3.8637523206751054</v>
      </c>
    </row>
    <row r="1786" spans="1:12" x14ac:dyDescent="0.3">
      <c r="A1786" s="8" t="s">
        <v>21</v>
      </c>
      <c r="B1786" s="11">
        <v>75</v>
      </c>
      <c r="C1786" s="11" t="s">
        <v>11</v>
      </c>
      <c r="D1786" s="11">
        <v>25</v>
      </c>
      <c r="E1786" s="21">
        <v>5.5</v>
      </c>
      <c r="F1786" s="11" t="s">
        <v>18</v>
      </c>
      <c r="G1786" s="11" t="s">
        <v>17</v>
      </c>
      <c r="H1786" s="12">
        <v>46630</v>
      </c>
      <c r="I1786" s="12"/>
      <c r="J1786" s="13"/>
      <c r="K1786" t="str">
        <f t="shared" si="27"/>
        <v>DE75-SDR7,4</v>
      </c>
      <c r="L1786">
        <f>VLOOKUP(K1786,'[1]Tarif - Evolution Marché'!$F:$N,9,0)</f>
        <v>5.4974194092827009</v>
      </c>
    </row>
    <row r="1787" spans="1:12" x14ac:dyDescent="0.3">
      <c r="A1787" s="14" t="s">
        <v>21</v>
      </c>
      <c r="B1787" s="15">
        <v>90</v>
      </c>
      <c r="C1787" s="15" t="s">
        <v>11</v>
      </c>
      <c r="D1787" s="15">
        <v>25</v>
      </c>
      <c r="E1787" s="21">
        <v>7.86</v>
      </c>
      <c r="F1787" s="15" t="s">
        <v>18</v>
      </c>
      <c r="G1787" s="15" t="s">
        <v>17</v>
      </c>
      <c r="H1787" s="17">
        <v>46630</v>
      </c>
      <c r="I1787" s="17"/>
      <c r="J1787" s="18"/>
      <c r="K1787" t="str">
        <f t="shared" si="27"/>
        <v>DE90-SDR7,4</v>
      </c>
      <c r="L1787">
        <f>VLOOKUP(K1787,'[1]Tarif - Evolution Marché'!$F:$N,9,0)</f>
        <v>7.857160759493671</v>
      </c>
    </row>
    <row r="1788" spans="1:12" x14ac:dyDescent="0.3">
      <c r="A1788" s="8" t="s">
        <v>21</v>
      </c>
      <c r="B1788" s="11">
        <v>110</v>
      </c>
      <c r="C1788" s="11" t="s">
        <v>11</v>
      </c>
      <c r="D1788" s="11">
        <v>25</v>
      </c>
      <c r="E1788" s="21">
        <v>11.77</v>
      </c>
      <c r="F1788" s="11" t="s">
        <v>18</v>
      </c>
      <c r="G1788" s="11" t="s">
        <v>17</v>
      </c>
      <c r="H1788" s="12">
        <v>46630</v>
      </c>
      <c r="I1788" s="12"/>
      <c r="J1788" s="13"/>
      <c r="K1788" t="str">
        <f t="shared" si="27"/>
        <v>DE110-SDR7,4</v>
      </c>
      <c r="L1788">
        <f>VLOOKUP(K1788,'[1]Tarif - Evolution Marché'!$F:$N,9,0)</f>
        <v>11.772775527426161</v>
      </c>
    </row>
    <row r="1789" spans="1:12" x14ac:dyDescent="0.3">
      <c r="A1789" s="14" t="s">
        <v>21</v>
      </c>
      <c r="B1789" s="15">
        <v>125</v>
      </c>
      <c r="C1789" s="15" t="s">
        <v>11</v>
      </c>
      <c r="D1789" s="15">
        <v>25</v>
      </c>
      <c r="E1789" s="21">
        <v>15.14</v>
      </c>
      <c r="F1789" s="15" t="s">
        <v>18</v>
      </c>
      <c r="G1789" s="15" t="s">
        <v>17</v>
      </c>
      <c r="H1789" s="17">
        <v>46630</v>
      </c>
      <c r="I1789" s="17"/>
      <c r="J1789" s="18"/>
      <c r="K1789" t="str">
        <f t="shared" si="27"/>
        <v>DE125-SDR7,4</v>
      </c>
      <c r="L1789">
        <f>VLOOKUP(K1789,'[1]Tarif - Evolution Marché'!$F:$N,9,0)</f>
        <v>15.143834599156119</v>
      </c>
    </row>
    <row r="1790" spans="1:12" x14ac:dyDescent="0.3">
      <c r="A1790" s="8" t="s">
        <v>21</v>
      </c>
      <c r="B1790" s="11">
        <v>140</v>
      </c>
      <c r="C1790" s="11" t="s">
        <v>11</v>
      </c>
      <c r="D1790" s="11">
        <v>25</v>
      </c>
      <c r="E1790" s="21">
        <v>19.010000000000002</v>
      </c>
      <c r="F1790" s="11" t="s">
        <v>18</v>
      </c>
      <c r="G1790" s="11" t="s">
        <v>17</v>
      </c>
      <c r="H1790" s="12">
        <v>46630</v>
      </c>
      <c r="I1790" s="12"/>
      <c r="J1790" s="13"/>
      <c r="K1790" t="str">
        <f t="shared" si="27"/>
        <v>DE140-SDR7,4</v>
      </c>
      <c r="L1790">
        <f>VLOOKUP(K1790,'[1]Tarif - Evolution Marché'!$F:$N,9,0)</f>
        <v>19.007586919831226</v>
      </c>
    </row>
    <row r="1791" spans="1:12" x14ac:dyDescent="0.3">
      <c r="A1791" s="14" t="s">
        <v>21</v>
      </c>
      <c r="B1791" s="15">
        <v>160</v>
      </c>
      <c r="C1791" s="15" t="s">
        <v>11</v>
      </c>
      <c r="D1791" s="15">
        <v>25</v>
      </c>
      <c r="E1791" s="21">
        <v>24.74</v>
      </c>
      <c r="F1791" s="15" t="s">
        <v>18</v>
      </c>
      <c r="G1791" s="15" t="s">
        <v>17</v>
      </c>
      <c r="H1791" s="17">
        <v>46630</v>
      </c>
      <c r="I1791" s="17"/>
      <c r="J1791" s="18"/>
      <c r="K1791" t="str">
        <f t="shared" si="27"/>
        <v>DE160-SDR7,4</v>
      </c>
      <c r="L1791">
        <f>VLOOKUP(K1791,'[1]Tarif - Evolution Marché'!$F:$N,9,0)</f>
        <v>24.73838734177215</v>
      </c>
    </row>
    <row r="1792" spans="1:12" x14ac:dyDescent="0.3">
      <c r="A1792" s="8" t="s">
        <v>21</v>
      </c>
      <c r="B1792" s="11">
        <v>180</v>
      </c>
      <c r="C1792" s="11" t="s">
        <v>11</v>
      </c>
      <c r="D1792" s="11">
        <v>25</v>
      </c>
      <c r="E1792" s="21">
        <v>31.38</v>
      </c>
      <c r="F1792" s="11" t="s">
        <v>18</v>
      </c>
      <c r="G1792" s="11" t="s">
        <v>17</v>
      </c>
      <c r="H1792" s="12">
        <v>46630</v>
      </c>
      <c r="I1792" s="12"/>
      <c r="J1792" s="13"/>
      <c r="K1792" t="str">
        <f t="shared" si="27"/>
        <v>DE180-SDR7,4</v>
      </c>
      <c r="L1792">
        <f>VLOOKUP(K1792,'[1]Tarif - Evolution Marché'!$F:$N,9,0)</f>
        <v>31.376780590717299</v>
      </c>
    </row>
    <row r="1793" spans="1:12" x14ac:dyDescent="0.3">
      <c r="A1793" s="14" t="s">
        <v>21</v>
      </c>
      <c r="B1793" s="15">
        <v>200</v>
      </c>
      <c r="C1793" s="15" t="s">
        <v>11</v>
      </c>
      <c r="D1793" s="15">
        <v>25</v>
      </c>
      <c r="E1793" s="21">
        <v>38.64</v>
      </c>
      <c r="F1793" s="15" t="s">
        <v>18</v>
      </c>
      <c r="G1793" s="15" t="s">
        <v>17</v>
      </c>
      <c r="H1793" s="17">
        <v>46630</v>
      </c>
      <c r="I1793" s="17"/>
      <c r="J1793" s="18"/>
      <c r="K1793" t="str">
        <f t="shared" si="27"/>
        <v>DE200-SDR7,4</v>
      </c>
      <c r="L1793">
        <f>VLOOKUP(K1793,'[1]Tarif - Evolution Marché'!$F:$N,9,0)</f>
        <v>38.637523206751055</v>
      </c>
    </row>
    <row r="1794" spans="1:12" x14ac:dyDescent="0.3">
      <c r="A1794" s="8" t="s">
        <v>21</v>
      </c>
      <c r="B1794" s="11">
        <v>225</v>
      </c>
      <c r="C1794" s="11" t="s">
        <v>11</v>
      </c>
      <c r="D1794" s="11">
        <v>25</v>
      </c>
      <c r="E1794" s="21">
        <v>48.75</v>
      </c>
      <c r="F1794" s="11" t="s">
        <v>18</v>
      </c>
      <c r="G1794" s="11" t="s">
        <v>17</v>
      </c>
      <c r="H1794" s="12">
        <v>46630</v>
      </c>
      <c r="I1794" s="12"/>
      <c r="J1794" s="13"/>
      <c r="K1794" t="str">
        <f t="shared" si="27"/>
        <v>DE225-SDR7,4</v>
      </c>
      <c r="L1794">
        <f>VLOOKUP(K1794,'[1]Tarif - Evolution Marché'!$F:$N,9,0)</f>
        <v>48.750700421940934</v>
      </c>
    </row>
    <row r="1795" spans="1:12" x14ac:dyDescent="0.3">
      <c r="A1795" s="14" t="s">
        <v>21</v>
      </c>
      <c r="B1795" s="15">
        <v>250</v>
      </c>
      <c r="C1795" s="15" t="s">
        <v>11</v>
      </c>
      <c r="D1795" s="15">
        <v>25</v>
      </c>
      <c r="E1795" s="21">
        <v>60.42</v>
      </c>
      <c r="F1795" s="15" t="s">
        <v>18</v>
      </c>
      <c r="G1795" s="15" t="s">
        <v>17</v>
      </c>
      <c r="H1795" s="17">
        <v>46630</v>
      </c>
      <c r="I1795" s="17"/>
      <c r="J1795" s="18"/>
      <c r="K1795" t="str">
        <f t="shared" ref="K1795:K1801" si="28">CONCATENATE("DE",B1795,"-",C1795)</f>
        <v>DE250-SDR7,4</v>
      </c>
      <c r="L1795">
        <f>VLOOKUP(K1795,'[1]Tarif - Evolution Marché'!$F:$N,9,0)</f>
        <v>60.419751054852327</v>
      </c>
    </row>
    <row r="1796" spans="1:12" x14ac:dyDescent="0.3">
      <c r="A1796" s="8" t="s">
        <v>21</v>
      </c>
      <c r="B1796" s="11">
        <v>280</v>
      </c>
      <c r="C1796" s="11" t="s">
        <v>11</v>
      </c>
      <c r="D1796" s="11">
        <v>25</v>
      </c>
      <c r="E1796" s="21">
        <v>75.72</v>
      </c>
      <c r="F1796" s="11" t="s">
        <v>18</v>
      </c>
      <c r="G1796" s="11" t="s">
        <v>17</v>
      </c>
      <c r="H1796" s="12">
        <v>46630</v>
      </c>
      <c r="I1796" s="12"/>
      <c r="J1796" s="13"/>
      <c r="K1796" t="str">
        <f t="shared" si="28"/>
        <v>DE280-SDR7,4</v>
      </c>
      <c r="L1796">
        <f>VLOOKUP(K1796,'[1]Tarif - Evolution Marché'!$F:$N,9,0)</f>
        <v>75.719172995780596</v>
      </c>
    </row>
    <row r="1797" spans="1:12" x14ac:dyDescent="0.3">
      <c r="A1797" s="14" t="s">
        <v>21</v>
      </c>
      <c r="B1797" s="15">
        <v>315</v>
      </c>
      <c r="C1797" s="15" t="s">
        <v>11</v>
      </c>
      <c r="D1797" s="15">
        <v>25</v>
      </c>
      <c r="E1797" s="21">
        <v>95.69</v>
      </c>
      <c r="F1797" s="15" t="s">
        <v>18</v>
      </c>
      <c r="G1797" s="15" t="s">
        <v>17</v>
      </c>
      <c r="H1797" s="17">
        <v>46630</v>
      </c>
      <c r="I1797" s="17"/>
      <c r="J1797" s="18"/>
      <c r="K1797" t="str">
        <f t="shared" si="28"/>
        <v>DE315-SDR7,4</v>
      </c>
      <c r="L1797">
        <f>VLOOKUP(K1797,'[1]Tarif - Evolution Marché'!$F:$N,9,0)</f>
        <v>95.686215189873423</v>
      </c>
    </row>
    <row r="1798" spans="1:12" x14ac:dyDescent="0.3">
      <c r="A1798" s="8" t="s">
        <v>21</v>
      </c>
      <c r="B1798" s="11">
        <v>355</v>
      </c>
      <c r="C1798" s="11" t="s">
        <v>11</v>
      </c>
      <c r="D1798" s="11">
        <v>25</v>
      </c>
      <c r="E1798" s="21">
        <v>121.36</v>
      </c>
      <c r="F1798" s="11" t="s">
        <v>18</v>
      </c>
      <c r="G1798" s="11" t="s">
        <v>17</v>
      </c>
      <c r="H1798" s="12">
        <v>46630</v>
      </c>
      <c r="I1798" s="12"/>
      <c r="J1798" s="13"/>
      <c r="K1798" t="str">
        <f t="shared" si="28"/>
        <v>DE355-SDR7,4</v>
      </c>
      <c r="L1798">
        <f>VLOOKUP(K1798,'[1]Tarif - Evolution Marché'!$F:$N,9,0)</f>
        <v>121.35812658227847</v>
      </c>
    </row>
    <row r="1799" spans="1:12" x14ac:dyDescent="0.3">
      <c r="A1799" s="14" t="s">
        <v>21</v>
      </c>
      <c r="B1799" s="15">
        <v>400</v>
      </c>
      <c r="C1799" s="15" t="s">
        <v>11</v>
      </c>
      <c r="D1799" s="15">
        <v>25</v>
      </c>
      <c r="E1799" s="21">
        <v>154.03</v>
      </c>
      <c r="F1799" s="15" t="s">
        <v>18</v>
      </c>
      <c r="G1799" s="15" t="s">
        <v>17</v>
      </c>
      <c r="H1799" s="17">
        <v>46630</v>
      </c>
      <c r="I1799" s="17"/>
      <c r="J1799" s="18"/>
      <c r="K1799" t="str">
        <f t="shared" si="28"/>
        <v>DE400-SDR7,4</v>
      </c>
      <c r="L1799">
        <f>VLOOKUP(K1799,'[1]Tarif - Evolution Marché'!$F:$N,9,0)</f>
        <v>154.03146835443039</v>
      </c>
    </row>
    <row r="1800" spans="1:12" x14ac:dyDescent="0.3">
      <c r="A1800" s="8" t="s">
        <v>21</v>
      </c>
      <c r="B1800" s="11">
        <v>450</v>
      </c>
      <c r="C1800" s="11" t="s">
        <v>11</v>
      </c>
      <c r="D1800" s="11">
        <v>25</v>
      </c>
      <c r="E1800" s="21">
        <v>195</v>
      </c>
      <c r="F1800" s="11" t="s">
        <v>18</v>
      </c>
      <c r="G1800" s="11" t="s">
        <v>17</v>
      </c>
      <c r="H1800" s="12">
        <v>46630</v>
      </c>
      <c r="I1800" s="12"/>
      <c r="J1800" s="13"/>
      <c r="K1800" t="str">
        <f t="shared" si="28"/>
        <v>DE450-SDR7,4</v>
      </c>
      <c r="L1800">
        <f>VLOOKUP(K1800,'[1]Tarif - Evolution Marché'!$F:$N,9,0)</f>
        <v>195.00280168776374</v>
      </c>
    </row>
    <row r="1801" spans="1:12" x14ac:dyDescent="0.3">
      <c r="A1801" s="2" t="s">
        <v>21</v>
      </c>
      <c r="B1801" s="23">
        <v>500</v>
      </c>
      <c r="C1801" s="23" t="s">
        <v>11</v>
      </c>
      <c r="D1801" s="23">
        <v>25</v>
      </c>
      <c r="E1801" s="24">
        <v>240.64</v>
      </c>
      <c r="F1801" s="23" t="s">
        <v>18</v>
      </c>
      <c r="G1801" s="23" t="s">
        <v>17</v>
      </c>
      <c r="H1801" s="25">
        <v>46630</v>
      </c>
      <c r="I1801" s="25"/>
      <c r="J1801" s="26"/>
      <c r="K1801" t="str">
        <f t="shared" si="28"/>
        <v>DE500-SDR7,4</v>
      </c>
      <c r="L1801">
        <f>VLOOKUP(K1801,'[1]Tarif - Evolution Marché'!$F:$N,9,0)</f>
        <v>240.64175527426161</v>
      </c>
    </row>
    <row r="1802" spans="1:12" x14ac:dyDescent="0.3">
      <c r="G1802" s="33" t="s">
        <v>33</v>
      </c>
      <c r="H1802" s="25">
        <v>46630</v>
      </c>
    </row>
  </sheetData>
  <autoFilter ref="A1:J1801" xr:uid="{8F775BB4-B373-4179-B828-361AFBFC5659}"/>
  <phoneticPr fontId="4" type="noConversion"/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7d7ef55b-d006-4101-afe3-f2bbfa26e84b}" enabled="0" method="" siteId="{7d7ef55b-d006-4101-afe3-f2bbfa26e84b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XIA Zelie</dc:creator>
  <cp:lastModifiedBy>XIA Zelie</cp:lastModifiedBy>
  <dcterms:created xsi:type="dcterms:W3CDTF">2026-01-08T13:32:17Z</dcterms:created>
  <dcterms:modified xsi:type="dcterms:W3CDTF">2026-09-10T13:10:14Z</dcterms:modified>
</cp:coreProperties>
</file>